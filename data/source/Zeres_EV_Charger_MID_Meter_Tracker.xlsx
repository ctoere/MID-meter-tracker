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aster Tracker" sheetId="2" state="visible" r:id="rId4"/>
    <sheet name="Brand Coverage" sheetId="3" state="visible" r:id="rId5"/>
    <sheet name="Drive Folder Map"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One row per charger model (or meter component). Add new rows as research finds more brands/models. Keep Drive Folder Path in sync with the actual Drive tree.</t>
        </r>
      </text>
    </comment>
  </commentList>
</comments>
</file>

<file path=xl/sharedStrings.xml><?xml version="1.0" encoding="utf-8"?>
<sst xmlns="http://schemas.openxmlformats.org/spreadsheetml/2006/main" count="4037" uniqueCount="1458">
  <si>
    <t xml:space="preserve">Zeres — EV Charger &amp; MID Meter Knowledge Base</t>
  </si>
  <si>
    <t xml:space="preserve">Pilot build — seeded from zeres.nl/laadpaal-check, for internal Drive upload</t>
  </si>
  <si>
    <t xml:space="preserve">PURPOSE</t>
  </si>
  <si>
    <t xml:space="preserve">Tracks, for every EV charger brand/model worldwide, whether it has a built-in MID-certified kWh meter, which meter</t>
  </si>
  <si>
    <t xml:space="preserve">brand/model is installed where known, and links to the manufacturer datasheet and the meter's MID certificate.</t>
  </si>
  <si>
    <t xml:space="preserve">This is the master index behind the Drive folder tree: Technical &gt; Chargers &gt; AC/DC Chargers &gt; Brand, and</t>
  </si>
  <si>
    <t xml:space="preserve">Technical &gt; Meters &gt; Brand.</t>
  </si>
  <si>
    <t xml:space="preserve">STATUS OF THIS BUILD (pilot, phase 1)</t>
  </si>
  <si>
    <t xml:space="preserve">- 'Master Tracker' is seeded from Zeres's own downloadable MID-meter list (zeres.nl/laadpaal-check), which covers</t>
  </si>
  <si>
    <t xml:space="preserve">  ~70 brands and ~180 models sold mainly into the Dutch/EU market. This tells us WHETHER a model has a MID meter,</t>
  </si>
  <si>
    <t xml:space="preserve">  per Zeres's own compliance checks — it is a strong starting signal, not a manufacturer-verified fact.</t>
  </si>
  <si>
    <t xml:space="preserve">- 'Meter Brand' and 'Datasheet Link' / 'Certificate Link' are mostly still blank. Zeres's list does not name the</t>
  </si>
  <si>
    <t xml:space="preserve">  meter brand inside each charger — that requires per-model manufacturer-datasheet research, which is the next</t>
  </si>
  <si>
    <t xml:space="preserve">  phase of this build (see Research Status column).</t>
  </si>
  <si>
    <t xml:space="preserve">- Brands with zero rows in the seed data (see 'Brand Coverage' tab) have not been checked at all yet.</t>
  </si>
  <si>
    <t xml:space="preserve">COLUMN GUIDE (Master Tracker)</t>
  </si>
  <si>
    <t xml:space="preserve">- Record Type: Charger or Meter (meter component rows, e.g. Inepro Pro380, are listed separately)</t>
  </si>
  <si>
    <t xml:space="preserve">- Charge Type: AC or DC</t>
  </si>
  <si>
    <t xml:space="preserve">- MID Status: Yes / No / Maybe / Unknown — Maybe means it depends on variant/option/serial number, see Notes</t>
  </si>
  <si>
    <t xml:space="preserve">- Meter Brand / Meter Model: the MID meter manufacturer fitted inside the charger, if identified</t>
  </si>
  <si>
    <t xml:space="preserve">- Datasheet Link, Certificate Link: URLs to the manufacturer PDF; filled in as research completes</t>
  </si>
  <si>
    <t xml:space="preserve">- Drive Folder Path: exactly where this model's files should live in the Drive tree</t>
  </si>
  <si>
    <t xml:space="preserve">- Research Status: Seed (Zeres) / Verified / Needs Research / Not Found</t>
  </si>
  <si>
    <t xml:space="preserve">- Source: where the MID status claim comes from</t>
  </si>
  <si>
    <t xml:space="preserve">NEXT STEPS</t>
  </si>
  <si>
    <t xml:space="preserve">1. Connect Google Drive so files can be uploaded directly as they're found.</t>
  </si>
  <si>
    <t xml:space="preserve">2. Deep-research pass per brand: manufacturer datasheet, meter brand/model, MID certificate PDF.</t>
  </si>
  <si>
    <t xml:space="preserve">3. Cross-reference against other Dutch inboekdienst providers' charger lists (EVBox/other ERE registrars) to catch</t>
  </si>
  <si>
    <t xml:space="preserve">   brands/models Zeres doesn't list.</t>
  </si>
  <si>
    <t xml:space="preserve">4. Set up a recurring monthly refresh to catch new models.</t>
  </si>
  <si>
    <t xml:space="preserve">Record Type</t>
  </si>
  <si>
    <t xml:space="preserve">Brand</t>
  </si>
  <si>
    <t xml:space="preserve">Model</t>
  </si>
  <si>
    <t xml:space="preserve">Charge Type</t>
  </si>
  <si>
    <t xml:space="preserve">MID Status</t>
  </si>
  <si>
    <t xml:space="preserve">Meter Brand</t>
  </si>
  <si>
    <t xml:space="preserve">Meter Model</t>
  </si>
  <si>
    <t xml:space="preserve">Datasheet Link</t>
  </si>
  <si>
    <t xml:space="preserve">Certificate Link</t>
  </si>
  <si>
    <t xml:space="preserve">Drive Folder Path</t>
  </si>
  <si>
    <t xml:space="preserve">Research Status</t>
  </si>
  <si>
    <t xml:space="preserve">Source</t>
  </si>
  <si>
    <t xml:space="preserve">Notes</t>
  </si>
  <si>
    <t xml:space="preserve">Charger</t>
  </si>
  <si>
    <t xml:space="preserve">50five</t>
  </si>
  <si>
    <t xml:space="preserve">Advanced Flex 1.1</t>
  </si>
  <si>
    <t xml:space="preserve">AC</t>
  </si>
  <si>
    <t xml:space="preserve">Maybe</t>
  </si>
  <si>
    <t xml:space="preserve">https://www.manualslib.com/manual/3641658/Shell-Recharge-Advanced-Flex-1-1.html</t>
  </si>
  <si>
    <t xml:space="preserve">Technical/Chargers/AC Chargers/50five</t>
  </si>
  <si>
    <t xml:space="preserve">Datasheet found, download pending (unverified - shell.nl blocked, using ManualsLib mirror)</t>
  </si>
  <si>
    <t xml:space="preserve">Shell E.V. Charging Solutions B.V. (Amsterdam), successor to NewMotion; business transferred to 50five Dec 2024</t>
  </si>
  <si>
    <t xml:space="preserve">Shell Recharge/NewMotion hardware; Peblar whitelabel | 50five is a CPO/reseller, NOT an independent hardware manufacturer. Confirmed: Shell Recharge transferred its entire home &amp; workplace charging business (UK/NL/DE/FR/BE/LU) to 50five in Dec 2024, including the Advanced Flex line (legal mfr: Shell E.V. Charging Solutions B.V., formerly NewMotion). Public specs use 'eichrechtskonform' (German Eichrecht) rather than literal 'MID' -- treat as Maybe pending direct confirmation. 50five ALSO resells genuine Alfen (Eve Single/Double Pro-line, both confirmed MID Yes -- see Alfen brand rows), Zaptec (Go 2, MID Yes -- see Zaptec brand rows), and Wallbox (Pulsar Plus MID No standard/optional; Supernova DC) hardware under those brands' own names -- not duplicated here since already tracked under Alfen/Zaptec/Wallbox. Also resells Alpitronic Hypercharger (DC, MID optional) and unconfirmed ADS-TEC/StarCharge DC units for public/business stations.</t>
  </si>
  <si>
    <t xml:space="preserve">ABB</t>
  </si>
  <si>
    <t xml:space="preserve">Terra AC Wallbox</t>
  </si>
  <si>
    <t xml:space="preserve">https://search.abb.com/library/Download.aspx?DocumentID=1SDC007321L0901</t>
  </si>
  <si>
    <t xml:space="preserve">Technical/Chargers/AC Chargers/ABB</t>
  </si>
  <si>
    <t xml:space="preserve">Datasheet found, download pending</t>
  </si>
  <si>
    <t xml:space="preserve">ABB official library (search.abb.com resolver), Feb 2025 rev</t>
  </si>
  <si>
    <t xml:space="preserve">MID option when model ends in M or P | Downloaded datasheet is the UL (US/Canada) 32/40/80A variant. EU MID variant is a separate SKU (Terra AC MID Wallbox) - still need EU-specific datasheet. | CORRECTED: unified IEC/EU datasheet (doc 1SDC007321L0901, Feb 2025) covers BOTH the plain and MID-certified variants in one document ('MID in alcune varianti') — supersedes the earlier UL-only file that was filed. Meter (when fitted): certified MID; external DLM integration via ABB D11/D13 or EQ meter.</t>
  </si>
  <si>
    <t xml:space="preserve">ABL (=Wallbox)</t>
  </si>
  <si>
    <t xml:space="preserve">emH1 (1W1121)</t>
  </si>
  <si>
    <t xml:space="preserve">No</t>
  </si>
  <si>
    <t xml:space="preserve">Technical/Chargers/AC Chargers/ABL (=Wallbox)</t>
  </si>
  <si>
    <t xml:space="preserve">Seed (Zeres)</t>
  </si>
  <si>
    <t xml:space="preserve">zeres.nl/laadpaal-check MID-meter list</t>
  </si>
  <si>
    <t xml:space="preserve">No MID certification per datasheet</t>
  </si>
  <si>
    <t xml:space="preserve">emH2</t>
  </si>
  <si>
    <t xml:space="preserve">MID in + variants; may be separate</t>
  </si>
  <si>
    <t xml:space="preserve">emH3</t>
  </si>
  <si>
    <t xml:space="preserve">eM4</t>
  </si>
  <si>
    <t xml:space="preserve">Yes</t>
  </si>
  <si>
    <t xml:space="preserve">Built-in MID meter</t>
  </si>
  <si>
    <t xml:space="preserve">SuperNova DC</t>
  </si>
  <si>
    <t xml:space="preserve">DC</t>
  </si>
  <si>
    <t xml:space="preserve">Technical/Chargers/DC Chargers/ABL (=Wallbox)</t>
  </si>
  <si>
    <t xml:space="preserve">emH4</t>
  </si>
  <si>
    <t xml:space="preserve">MID standard in + variants</t>
  </si>
  <si>
    <t xml:space="preserve">emH5</t>
  </si>
  <si>
    <t xml:space="preserve">MID in + variants</t>
  </si>
  <si>
    <t xml:space="preserve">eM5</t>
  </si>
  <si>
    <t xml:space="preserve">Alfen</t>
  </si>
  <si>
    <t xml:space="preserve">NGU</t>
  </si>
  <si>
    <t xml:space="preserve">https://alfen.com/nl/media/1384/download</t>
  </si>
  <si>
    <t xml:space="preserve">Technical/Chargers/AC Chargers/Alfen</t>
  </si>
  <si>
    <t xml:space="preserve">Consolidated (no longer sold separately)</t>
  </si>
  <si>
    <t xml:space="preserve">Alfen.com redirect to current Eve Single S-line/Pro-line datasheet</t>
  </si>
  <si>
    <t xml:space="preserve">Built-in MID meter | Alfen's product code for this line now redirects to the current Eve Single S-line &amp; Pro-line datasheet - treated as covered by that document, not a separate current model.</t>
  </si>
  <si>
    <t xml:space="preserve">Eve Mini (ICU)</t>
  </si>
  <si>
    <t xml:space="preserve">https://www.alfenelkamo.fi/sites/elkamo.fi/files/downloads/Manual-Eve-Mini_0.pdf</t>
  </si>
  <si>
    <t xml:space="preserve">Legacy/discontinued</t>
  </si>
  <si>
    <t xml:space="preserve">Legacy installation manual (distributor-hosted); no current manufacturer datasheet exists</t>
  </si>
  <si>
    <t xml:space="preserve">Built-in MID meter | No current alfen.com datasheet found; only reseller listings and old manuals (art. 904460034). Likely superseded by Eve Single Plus.</t>
  </si>
  <si>
    <t xml:space="preserve">Eve Single Plus</t>
  </si>
  <si>
    <t xml:space="preserve">https://eu-assets.contentstack.com/v3/assets/blt08d332658a89f766/blt5377f5c8c282ad2c/68e4bd9c098eea9bc28c8b0b/904460xxx-evc-ds-1200-1.1-en_datasheet_eve_single_plus.pdf</t>
  </si>
  <si>
    <t xml:space="preserve">Filed to Drive</t>
  </si>
  <si>
    <t xml:space="preserve">Alfen.com official datasheet</t>
  </si>
  <si>
    <t xml:space="preserve">Built-in MID meter | URL confirmed valid (4.4MB PDF); repeated browser download attempts failed to save to disk. Needs retry or manual download.</t>
  </si>
  <si>
    <t xml:space="preserve">Eve Single S-line</t>
  </si>
  <si>
    <t xml:space="preserve">Alfen.com official combined S-line/Pro-line datasheet</t>
  </si>
  <si>
    <t xml:space="preserve">Built-in MID meter | FIX: was mislabeled 'Filed to Drive' but the URL was never actually added to manifest.csv in any prior batch -- corrected to 'download pending' and queued now.</t>
  </si>
  <si>
    <t xml:space="preserve">Eve Single Pro-line</t>
  </si>
  <si>
    <t xml:space="preserve">https://chargingshop.eu/wp-content/uploads/2025/01/Alfen-Eve-Single-Pro-Line_DATASHEET.pdf</t>
  </si>
  <si>
    <t xml:space="preserve">Alfen Eve Single S/Pro-line datasheet</t>
  </si>
  <si>
    <t xml:space="preserve">Built-in MID meter | Confirmed MID-certified per Alfen datasheet (S-line, Pro-line, Pro-line DE). Meter brand/model not disclosed in public datasheet. | FIX: was mislabeled 'Filed to Drive' but the URL was never actually added to manifest.csv in any prior batch -- corrected to 'download pending' and queued now.</t>
  </si>
  <si>
    <t xml:space="preserve">Eve Double Plus</t>
  </si>
  <si>
    <t xml:space="preserve">https://eu-assets.contentstack.com/v3/assets/blt08d332658a89f766/blt06a1178fa8965acf/6978770aa84cdcb21a749b51/904463xxx-evc-ds-1200-3.1-en_datasheet_eve_double_plus.pdf</t>
  </si>
  <si>
    <t xml:space="preserve">Built-in MID meter | URL confirmed valid (2.4MB PDF); repeated browser download attempts failed to save to disk. Needs retry or manual download.</t>
  </si>
  <si>
    <t xml:space="preserve">Eve Double Pro-line</t>
  </si>
  <si>
    <t xml:space="preserve">https://eu-assets.contentstack.com/v3/assets/blt08d332658a89f766/bltf92153d6fdb75217/67e42201ffbcf7bde0f81747/904461xxx-ace-ds-1200-4.2-en_datasheet_eve_double_pro-line.pdf</t>
  </si>
  <si>
    <t xml:space="preserve">Alfen.com official datasheet (current revision 4.2)</t>
  </si>
  <si>
    <t xml:space="preserve">Twin 5</t>
  </si>
  <si>
    <t xml:space="preserve">Needs Research</t>
  </si>
  <si>
    <t xml:space="preserve">Built-in MID meter | Original alfen.com/file-download/download/public/2299 link resolved to an unrelated EU legal document, not the Twin 5 datasheet. Needs a corrected source URL.</t>
  </si>
  <si>
    <t xml:space="preserve">Twin 5 Plus</t>
  </si>
  <si>
    <t xml:space="preserve">https://cdn.estg.eu/p/2/c/4/5/2c4564fbc85f4856402a6eda196f458459612ff7_Datasheet_Twin_5_Plus_EN_1_.pdf</t>
  </si>
  <si>
    <t xml:space="preserve">Alfen Twin 5 Plus official datasheet (distributor-hosted copy)</t>
  </si>
  <si>
    <t xml:space="preserve">AlphaESS</t>
  </si>
  <si>
    <t xml:space="preserve">SMILE-G3-EVCS7</t>
  </si>
  <si>
    <t xml:space="preserve">https://www.alphaess.com/En/Skippower/downloadFileF?id=307&amp;mid=80</t>
  </si>
  <si>
    <t xml:space="preserve">Technical/Chargers/AC Chargers/AlphaESS</t>
  </si>
  <si>
    <t xml:space="preserve">AlphaESS official (alphaess.com)</t>
  </si>
  <si>
    <t xml:space="preserve">No MID meter | CORRECTED (seed name 'SMILE G3 ECVT' was garbled): real current model is SMILE-G3-EVCS7 (7kW single-phase). No MID mention anywhere across ~10 sources checked (official datasheet, install manual, 5 EU resellers).</t>
  </si>
  <si>
    <t xml:space="preserve">Autel</t>
  </si>
  <si>
    <t xml:space="preserve">MaxiCharger AC Elite</t>
  </si>
  <si>
    <t xml:space="preserve">N/A</t>
  </si>
  <si>
    <t xml:space="preserve">Technical/Chargers/AC Chargers/Autel</t>
  </si>
  <si>
    <t xml:space="preserve">N/A - not sold in EU (North America / UL market model)</t>
  </si>
  <si>
    <t xml:space="preserve">Autel US (autelenergy.us)</t>
  </si>
  <si>
    <t xml:space="preserve">No European MID certification | Real Autel product but NEMA/UL/CSA-certified North America market model -- no evidence of EU distribution found. Likely a seed-data region error.</t>
  </si>
  <si>
    <t xml:space="preserve">MaxiCharger AC Compact</t>
  </si>
  <si>
    <t xml:space="preserve">https://thundergrid.net/wp-content/uploads/2025/01/Autel-MaxiCharger-AC-Compact-Datasheet.pdf</t>
  </si>
  <si>
    <t xml:space="preserve">Autel EU via UK distributor Thundergrid</t>
  </si>
  <si>
    <t xml:space="preserve">No European MID certification | Confirmed real current EU model. Datasheet only states 'Power measurement accuracy +/-2.0%' -- no explicit 'MID' wording, unlike the AC Wallbox sheet. Treat as unconfirmed pending official EU spec sheet.</t>
  </si>
  <si>
    <t xml:space="preserve">MaxiCharger AC Ultra</t>
  </si>
  <si>
    <t xml:space="preserve">https://sevadis.com/wp-content/uploads/2024/06/Sevadis-MaxiCharger-AC-Ultra-2x22kW-Datasheet-LR.pdf</t>
  </si>
  <si>
    <t xml:space="preserve">Technical/Chargers/DC Chargers/Autel</t>
  </si>
  <si>
    <t xml:space="preserve">Autel EU via UK distributor Sevadis</t>
  </si>
  <si>
    <t xml:space="preserve">North American market; no European MID | CORRECTED (seed name was truncated): full name MaxiCharger AC Ultra, dual-port 2x22kW commercial charger. This reseller datasheet does not explicitly say 'MID' -- sibling variant AC Ultra Street does (see new row below). Re-check against Autel's own PDF once autelenergy.eu is reachable.</t>
  </si>
  <si>
    <t xml:space="preserve">MaxiCharger AC Wallbox</t>
  </si>
  <si>
    <t xml:space="preserve">https://thundergrid.net/wp-content/uploads/2025/01/Autel-MaxiCharger-AC-Wallbox-Datasheet.pdf</t>
  </si>
  <si>
    <t xml:space="preserve">Autel EU (autelenergy.com/eu) via UK distributor Thundergrid</t>
  </si>
  <si>
    <t xml:space="preserve">With LCD screen | CORRECTED (seed had word order reversed, likely confused with unrelated brand 'Wallbox'): real name is MaxiCharger AC Wallbox. Datasheet: 'Build-in MID Certified meter (Only applicable to the products with LCD screen).' autelenergy.eu itself was unreachable this round (SSL cert issue) -- re-verify once accessible.</t>
  </si>
  <si>
    <t xml:space="preserve">MaxiCharger AC Pro</t>
  </si>
  <si>
    <t xml:space="preserve">Autel US (autelenergy.us) / Canadian reseller Hypercharge</t>
  </si>
  <si>
    <t xml:space="preserve">North American market; no European MID | Matches 'MaxiCharger AC Pro,' also a North America/UL model (80A, NACS/NEMA) -- no EU catalog listing found. Likely a seed-data region error.</t>
  </si>
  <si>
    <t xml:space="preserve">Besen</t>
  </si>
  <si>
    <t xml:space="preserve">BS20 series (BA/RFID/APP/OCPP/DLB)</t>
  </si>
  <si>
    <t xml:space="preserve">https://www.besen-group.com/wp-content/uploads/2024/06/besen-international-group-co-ltd-bs20-15.pdf</t>
  </si>
  <si>
    <t xml:space="preserve">Technical/Chargers/AC Chargers/Besen</t>
  </si>
  <si>
    <t xml:space="preserve">Besen official (besen-group.com) + EU distributor Wallbox Discounter</t>
  </si>
  <si>
    <t xml:space="preserve">No MID in any variant | CORRECTION vs seed (may have implied MID): Besen's own site never mentions 'MID' for ANY product. A Dutch/EU distributor (Wallbox Discounter) states explicitly: 'De Besen laadpaal is niet voorzien van een ingebouwde MID-gecertificeerde meter' -- blocks Dutch ERE registration. No meter brand disclosed anywhere; units have LCD display only (not metrology-grade). 5 BS20 variants share one catalog PDF. Besen is AC-only, no DC chargers found.</t>
  </si>
  <si>
    <t xml:space="preserve">BlueBuilt</t>
  </si>
  <si>
    <t xml:space="preserve">BlueBuilt with socket</t>
  </si>
  <si>
    <t xml:space="preserve">https://peblar.com/hubfs/EN_Peblar%20White%20Label%20AC%20chargers_Detailed%20Spec%20Sheet.pdf</t>
  </si>
  <si>
    <t xml:space="preserve">https://peblar.com/hubfs/SPD6001209104R24_Peblar%20EU%20DoC.pdf</t>
  </si>
  <si>
    <t xml:space="preserve">Technical/Chargers/AC Chargers/BlueBuilt</t>
  </si>
  <si>
    <t xml:space="preserve">Peblar/Prodrive Technologies (white-label manufacturer for CoolBlue's BlueBuilt brand)</t>
  </si>
  <si>
    <t xml:space="preserve">Recently added MID meter | CORRECTED (seed's 'Prodrive (M23/M24)' internal codes not found in current public materials): BlueBuilt is white-labeled Peblar hardware manufactured by Prodrive Technologies (Eindhoven). Selectable 11kW (no MID) or 22kW (MID Class B) config -- MID Yes applies to the 22kW config only. Also see EU Type Examination Certificate: https://peblar.com/hubfs/T12409R4.pdf</t>
  </si>
  <si>
    <t xml:space="preserve">Blue Current</t>
  </si>
  <si>
    <t xml:space="preserve">U:Move</t>
  </si>
  <si>
    <t xml:space="preserve">https://bluecurrent.nl/wp-content/uploads/2019/11/UMOVE-Installatie-handleiding-Ref-2019-11-13.pdf</t>
  </si>
  <si>
    <t xml:space="preserve">Technical/Chargers/AC Chargers/Blue Current</t>
  </si>
  <si>
    <t xml:space="preserve">Datasheet found, download pending (unverified - 2019-dated, may be stale)</t>
  </si>
  <si>
    <t xml:space="preserve">Blue Current help center (bluecurrent.nl) + resellers</t>
  </si>
  <si>
    <t xml:space="preserve">Built-in MID meter | Wall/pole-mount, 1/3 phase, 16A/32A, max 22kW. Only found datasheet is a 2019-dated install manual -- likely stale, recommend a current version from Blue Current directly. Blue Current help center states explicitly (Dutch): 'Alle door Blue Current verkochte laadpalen beschikken over een MID-meter' (all charge points sold have a MID meter). Meter brand not disclosed anywhere. | FIX: datasheet link was missing from the row despite 'download pending' status -- backfilled.</t>
  </si>
  <si>
    <t xml:space="preserve">NanoCharge</t>
  </si>
  <si>
    <t xml:space="preserve">https://deslimmejongens.nl/wp-content/uploads/2025/02/Blue-Current-Productsheet.pdf</t>
  </si>
  <si>
    <t xml:space="preserve">Built-in MID meter | Compact wall/pole-mount unit, 1/3 phase, 16A/32A, max 22kW. Blue Current help center states explicitly (Dutch): 'Alle door Blue Current verkochte laadpalen beschikken over een MID-meter' (all charge points sold have a MID meter). Meter brand not disclosed anywhere. | FIX: datasheet link was missing from the row despite 'download pending' status -- backfilled (shared reseller product sheet covering all 4 Blue Current models).</t>
  </si>
  <si>
    <t xml:space="preserve">Hidden (H:Move)</t>
  </si>
  <si>
    <t xml:space="preserve">https://www.plugnet.be/images/handleiding/Bluecurrent-laadpaal-handleiding.pdf</t>
  </si>
  <si>
    <t xml:space="preserve">Blue Current install manual via BE distributor Plugnet</t>
  </si>
  <si>
    <t xml:space="preserve">Built-in MID meter | CONFIRMED: 'Hidden' (marketing name) and 'H:Move'/'H:MOVE C32T2' (technical name) are the SAME product, not separate. Concealed/hidden installation design. Manual confirms explicitly: 'De kWh meter in het laadpunt is MID gecertificeerd.' Meter brand not disclosed.</t>
  </si>
  <si>
    <t xml:space="preserve">Nano XL</t>
  </si>
  <si>
    <t xml:space="preserve">HELAF Elektrotechniek (installer) + ElaadNL</t>
  </si>
  <si>
    <t xml:space="preserve">Built-in MID meter | Blue Current's public/commercial charging variant ('Openbaar laden 2.0'). Not individually confirmed for MID but covered by the brand's general 'all charge points have MID meter' statement. NOTE: a claimed CubeCharging business-line transfer to Blue Current (raised during Cube's research) could NOT be corroborated on either company's site -- treat as unverified, no evidence of shared/rebadged hardware found.</t>
  </si>
  <si>
    <t xml:space="preserve">Blue Marble</t>
  </si>
  <si>
    <t xml:space="preserve">OSTRA Home 22</t>
  </si>
  <si>
    <t xml:space="preserve">Technical/Chargers/AC Chargers/Blue Marble</t>
  </si>
  <si>
    <t xml:space="preserve">OSTRA official (ostracharger.com) via Blue Marble Charging</t>
  </si>
  <si>
    <t xml:space="preserve">Under investigation | CORRECTED (seed combined 2 different SKUs into 1 row): 'Home' and 'Home &amp; Work' are DIFFERENT products with different MID status -- split out below. OSTRA Home 22 (this row) has NO MID meter.</t>
  </si>
  <si>
    <t xml:space="preserve">Cabur</t>
  </si>
  <si>
    <t xml:space="preserve">EVPLUS22S</t>
  </si>
  <si>
    <t xml:space="preserve">https://repository.cabur.it/pdf/EVPLUS22S_it.pdf</t>
  </si>
  <si>
    <t xml:space="preserve">Technical/Chargers/AC Chargers/Cabur</t>
  </si>
  <si>
    <t xml:space="preserve">Datasheet found, download pending (Italian only - English print-view redirects to product page)</t>
  </si>
  <si>
    <t xml:space="preserve">Cabur official (cabur.it)</t>
  </si>
  <si>
    <t xml:space="preserve">Built-in MID meter | CONFIRMED accurate. Part of Cabur's 'Plus' series (integrated MID meter). Full current lineup is much larger -- 4 product families, all AC-only (no DC): Compact (no meter), Easy (no meter), Evo (electronic measurement, NOT MID), Plus (MID-certified) -- see new rows below. Meter brand never disclosed.</t>
  </si>
  <si>
    <t xml:space="preserve">Cfos</t>
  </si>
  <si>
    <t xml:space="preserve">Power Brain Wallbox 22kW</t>
  </si>
  <si>
    <t xml:space="preserve">https://www.cfos-emobility.de/files/cfos-power-brain-technisches-datenblatt.pdf</t>
  </si>
  <si>
    <t xml:space="preserve">Technical/Chargers/AC Chargers/Cfos</t>
  </si>
  <si>
    <t xml:space="preserve">cFos official (cfos-emobility.de)</t>
  </si>
  <si>
    <t xml:space="preserve">Built-in MID meter | CONFIRMED discontinued/out of production as of July 2026 -- cFos's shop explicitly states 'ausverkauft und derzeit nicht in Produktion' (sold out, not in production). cFos now positions mainly as a software vendor (Charging Manager) plus accessory products (Booster, Controller) for third-party wallboxes. Datasheet remains officially hosted: 'MID zertifizierter (geeichter) Modbus-Zaehler.' Same datasheet also covers the 11kW and 'Solar' (PV surplus) variants.</t>
  </si>
  <si>
    <t xml:space="preserve">ChargeAmps</t>
  </si>
  <si>
    <t xml:space="preserve">Aura</t>
  </si>
  <si>
    <t xml:space="preserve">https://www.chargeamps.com/app/uploads/2025/02/ChargeAmps_product-sheet_aura_ENG_240411-1.pdf</t>
  </si>
  <si>
    <t xml:space="preserve">Technical/Chargers/AC Chargers/ChargeAmps</t>
  </si>
  <si>
    <t xml:space="preserve">ChargeAmps official (chargeamps.com)</t>
  </si>
  <si>
    <t xml:space="preserve">Built-in MID meter | CORRECTION vs seed (was confident 'Yes'): datasheet phrasing is 'equivalent to the Measuring Instruments Directive 2014/32/EU' -- NOT an explicit 'certified MID meter' claim like Dawn uses. Downgraded to Maybe pending direct manufacturer confirmation.</t>
  </si>
  <si>
    <t xml:space="preserve">Luna</t>
  </si>
  <si>
    <t xml:space="preserve">Unknown</t>
  </si>
  <si>
    <t xml:space="preserve">https://www.chargeamps.com/app/uploads/2025/02/ChargeAmps_product-sheet_luna_ENG_250217.pdf</t>
  </si>
  <si>
    <t xml:space="preserve">No built-in MID meter | CORRECTION vs seed (was confident 'No'): datasheet makes NO mention of MID/EN 50470 at all (not even as absent/optional) -- changed to Unknown pending direct confirmation, distinguishing it from Halo/Aura's ambiguous phrasing and Dawn's explicit certification.</t>
  </si>
  <si>
    <t xml:space="preserve">Dawn</t>
  </si>
  <si>
    <t xml:space="preserve">https://www.chargeamps.com/app/uploads/2025/02/ChargeAmps_product-sheet_dawn_ENG_240513-1.pdf</t>
  </si>
  <si>
    <t xml:space="preserve">Built-in MID meter | Confirmed: datasheet explicitly lists 'Certified MID meter' as a headline feature -- the strongest/clearest MID claim in the ChargeAmps lineup.</t>
  </si>
  <si>
    <t xml:space="preserve">CoolBlue</t>
  </si>
  <si>
    <t xml:space="preserve">BlueBuilt laadpaal (CoolBlue's own brand)</t>
  </si>
  <si>
    <t xml:space="preserve">Technical/Chargers/AC Chargers/CoolBlue</t>
  </si>
  <si>
    <t xml:space="preserve">Filed to Drive (covered by combined BlueBuilt/Peblar datasheet)</t>
  </si>
  <si>
    <t xml:space="preserve">CoolBlue official (coolblue.nl) + Home Assistant integration community</t>
  </si>
  <si>
    <t xml:space="preserve">Peblar whitelabel; MID optional | CONFIRMED reseller/OEM relationship: CoolBlue explicitly states 'BlueBuilt is het eigen merk van Coolblue' (own brand) -- but the physical hardware is Prodrive-manufactured Peblar hardware sold white-label. Treat CoolBlue = BlueBuilt = white-labeled Peblar/Prodrive hardware; reuse the BlueBuilt/Peblar datasheet and certificates rather than expecting CoolBlue-hosted PDFs (none exist). MID Yes on 22kW config, matching BlueBuilt rows above.</t>
  </si>
  <si>
    <t xml:space="preserve">Cube</t>
  </si>
  <si>
    <t xml:space="preserve">Cube Smart (Standard Fast variant)</t>
  </si>
  <si>
    <t xml:space="preserve">Technical/Chargers/AC Chargers/Cube</t>
  </si>
  <si>
    <t xml:space="preserve">Third-party reseller brochure (no official CubeCharging datasheet exists)</t>
  </si>
  <si>
    <t xml:space="preserve">Available with/without MID option | CubeCharging B.V. (Eindhoven, NL) is the WEAKEST-DOCUMENTED brand in this project -- no official manufacturer datasheet PDF exists for ANY model. Discontinued home charger, replaced by Cube 2.0 (not yet shipped, see new row). Non-MID tier per third-party brochure.</t>
  </si>
  <si>
    <t xml:space="preserve">Cube Smart Advanced (Business)</t>
  </si>
  <si>
    <t xml:space="preserve">Third-party reseller brochure</t>
  </si>
  <si>
    <t xml:space="preserve">Available with/without MID option | Business twin of Cube Smart Advanced (home). CubeCharging recently pivoted to residential-only and TRANSFERRED its business/commercial charging operations to Blue Current -- current status of this SKU unclear. MID Yes per reseller brochure only (no official confirmation).</t>
  </si>
  <si>
    <t xml:space="preserve">Cube Smart Advanced (home)</t>
  </si>
  <si>
    <t xml:space="preserve">Available with/without MID option | MID-qualified tier of the discontinued Cube Smart line, per reseller brochure only.</t>
  </si>
  <si>
    <t xml:space="preserve">DIC</t>
  </si>
  <si>
    <t xml:space="preserve">Charge Easy One</t>
  </si>
  <si>
    <t xml:space="preserve">Technical/Chargers/AC Chargers/DIC</t>
  </si>
  <si>
    <t xml:space="preserve">DIClaadsystemen B.V. (diclaadsystemen.nl) -- site blocked by network policy this round</t>
  </si>
  <si>
    <t xml:space="preserve">Model 50122 has MID meter | Company confirmed: DIClaadsystemen B.V. (Borne, NL), trades as 'DIC Laadsystemen.' 'Charge Easy' is actually the umbrella product line, not a single model -- it has 3 physical form factors (One/Wandlader/Laadzuil), each with cable or Mennekes-socket + single/dual-connector variants (7-9 SKUs total). Manufacturer's own site was blocked by this session's network egress policy (403 on every attempt) -- MID status genuinely unconfirmed; DIC does publish a knowledge-base FAQ titled 'Is mijn oplaadpunt voorzien van een MID-meter?' suggesting it varies by config. No meter brand found anywhere.</t>
  </si>
  <si>
    <t xml:space="preserve">Charge Easy Laadzuil</t>
  </si>
  <si>
    <t xml:space="preserve">Reseller Oosterberg (webshop.oosterberg.nl) -- manufacturer site blocked</t>
  </si>
  <si>
    <t xml:space="preserve">Has MID meter | Double free-standing column variant of Charge Easy. Reseller SKUs 'DIC 50122/50123 Paalzuil Charge Easy Master/Slave' confirm AC, 1x22kW or 2x11kW, includes an 'energiemeter' but no explicit MID wording found on the reseller page.</t>
  </si>
  <si>
    <t xml:space="preserve">Easee</t>
  </si>
  <si>
    <t xml:space="preserve">Home</t>
  </si>
  <si>
    <t xml:space="preserve">Technical/Chargers/AC Chargers/Easee</t>
  </si>
  <si>
    <t xml:space="preserve">No built-in MID meter | CORRECTED: 'Home' does not appear in Easee's current (2026) lineup — likely superseded by 'Easee One' (entry-level, non-MID, single-phase). No current datasheet found under this name.</t>
  </si>
  <si>
    <t xml:space="preserve">Charge Up (formerly Up)</t>
  </si>
  <si>
    <t xml:space="preserve">https://download.easee.com/m/2dcca57491b3a0a2/original/-EN-Charge-Up-Productsheet.pdf</t>
  </si>
  <si>
    <t xml:space="preserve">Easee official (download.easee.com)</t>
  </si>
  <si>
    <t xml:space="preserve">No built-in MID meter | Renamed to 'Charge Up' in current catalog. NL-language datasheet explicitly states 'niet MID-gecertificeerd' and warns the built-in counter isn't valid for billing/tax reporting.</t>
  </si>
  <si>
    <t xml:space="preserve">Charge Max (formerly Max)</t>
  </si>
  <si>
    <t xml:space="preserve">https://download.easee.com/m/7717e61d992937c1/original/-EN-Charge-Max-Productsheet.pdf</t>
  </si>
  <si>
    <t xml:space="preserve">Easee official (download.easee.com), Product no. 10233, Nov 2024</t>
  </si>
  <si>
    <t xml:space="preserve">Built-in Class B MID meter | Renamed to 'Charge Max' in current catalog. Confirmed 'Built-in energy meter MID Class B (±1%), according to EN 50470-3', complies with MID 2014/32/EU. Flagship Dutch/EU billing-compliance model. V2G-ready.</t>
  </si>
  <si>
    <t xml:space="preserve">Charge Core (formerly Core)</t>
  </si>
  <si>
    <t xml:space="preserve">https://download.easee.com/m/59c6c661bcb76b21/original/EN_Charge_Core_Productsheet.pdf</t>
  </si>
  <si>
    <t xml:space="preserve">Easee official (download.easee.com), Oct 2024</t>
  </si>
  <si>
    <t xml:space="preserve">No built-in MID meter | Renamed to 'Charge Core' in current catalog. Datasheet explicitly states 'Charge Core is not MID compliant.' Scalable commercial charger, up to 101 units/circuit.</t>
  </si>
  <si>
    <t xml:space="preserve">Charge Pro</t>
  </si>
  <si>
    <t xml:space="preserve">https://download.easee.com/m/5ad8c4d7f9f7c61f/original/EN_Charge_Pro_Productsheet.pdf</t>
  </si>
  <si>
    <t xml:space="preserve">Easee official (download.easee.com), Product nos. 10262/10263, Oct 2025 v1.03</t>
  </si>
  <si>
    <t xml:space="preserve">Built-in MID meter | Found a more canonical official productsheet URL (download.easee.com host) — may supersede the previously-filed easee.com/wp-content 'Pro_info.pdf'. Confirmed 'Built-in energy meter MID Class B (±1%), EN 50470-3.' Recommend re-downloading this newer URL to be safe re: 'always latest datasheet.'</t>
  </si>
  <si>
    <t xml:space="preserve">Eaton</t>
  </si>
  <si>
    <t xml:space="preserve">Green Motion Building</t>
  </si>
  <si>
    <t xml:space="preserve">https://www.eaton.com/content/dam/eaton/products/emobility/ev-charging/green-motion-building-en-us/eaton-green-motion-building-technical-datasheet-en-us.pdf</t>
  </si>
  <si>
    <t xml:space="preserve">Technical/Chargers/AC Chargers/Eaton</t>
  </si>
  <si>
    <t xml:space="preserve">Eaton official (eaton.com)</t>
  </si>
  <si>
    <t xml:space="preserve">Built-in MID meter | Confirmed: 'enables billing through the certified way of measuring energy (MID).' MID display in UI.</t>
  </si>
  <si>
    <t xml:space="preserve">Ecoflow</t>
  </si>
  <si>
    <t xml:space="preserve">PowerPulse 2 (7kW)</t>
  </si>
  <si>
    <t xml:space="preserve">https://enterprise-service-eu-cdn.ecoflow.com/enterprise/documentation/1742805102366/EcoFlow%20PowerPulse%20EV%20Charger%202_Datasheet_EN_20250324.pdf</t>
  </si>
  <si>
    <t xml:space="preserve">Technical/Chargers/AC Chargers/Ecoflow</t>
  </si>
  <si>
    <t xml:space="preserve">EcoFlow official EU (energy.ecoflow.com/eu)</t>
  </si>
  <si>
    <t xml:space="preserve">7kW model has no MID meter | Corrected capitalization: 'PowerPulse 2' not 'Powerpulse 2'. 7kW variant is single-phase only -- MID meter 'available only in the three-phase version' per EU product page.</t>
  </si>
  <si>
    <t xml:space="preserve">PowerPulse 2 (11kW)</t>
  </si>
  <si>
    <t xml:space="preserve">https://enterprise-service-eu-cdn.ecoflow.com/enterprise/documentation/1759125286501/EcoFlow%20PowerPulse%202%20EV%20Charger_Datasheet_DE_20250924.pdf</t>
  </si>
  <si>
    <t xml:space="preserve">Datasheet found, download pending (German only - current EN EU sheet is an older revision without MID language)</t>
  </si>
  <si>
    <t xml:space="preserve">11kW model has MID meter | 'Built-in MID-certified energy meter (Class B, billing-grade accuracy)' confirmed on the newer German EU datasheet (Sep 2025) and a newer AU-labeled English sheet -- but the current EN-EU sheet (Mar 2025) predates this and doesn't mention MID. Meter brand undisclosed.</t>
  </si>
  <si>
    <t xml:space="preserve">PowerPulse 2 (22kW)</t>
  </si>
  <si>
    <t xml:space="preserve">22kW model has MID meter | Same MID caveat as 11kW: confirmed on newer DE/AU EcoFlow docs, retail listings independently corroborate MID presence (e.g. photovoltaikshop.eu). One shared PDF covers all 3 power variants (7/11/22kW).</t>
  </si>
  <si>
    <t xml:space="preserve">Ecotap</t>
  </si>
  <si>
    <t xml:space="preserve">Single Wallcharger</t>
  </si>
  <si>
    <t xml:space="preserve">https://ecotap.nl/wp-content/uploads/2025/05/Single-Wallcharger-specs-EN.pdf</t>
  </si>
  <si>
    <t xml:space="preserve">Technical/Chargers/AC Chargers/Ecotap</t>
  </si>
  <si>
    <t xml:space="preserve">Ecotap official (ecotap.nl)</t>
  </si>
  <si>
    <t xml:space="preserve">Built-in MID meter | MID-certified meter confirmed on official product page / datasheet, Class B per EN 50470-1/-3.</t>
  </si>
  <si>
    <t xml:space="preserve">Duo Wallcharger Nuvia</t>
  </si>
  <si>
    <t xml:space="preserve">https://ecotap.nl/wp-content/uploads/2026/05/Duo-Wallcharger-Nuvia-specs-EN.pdf</t>
  </si>
  <si>
    <t xml:space="preserve">Duo Nuvia</t>
  </si>
  <si>
    <t xml:space="preserve">https://ecotap.nl/wp-content/uploads/2026/01/Duo-Nuvia-specs-EN.pdf</t>
  </si>
  <si>
    <t xml:space="preserve">Duo Wide Nuvia</t>
  </si>
  <si>
    <t xml:space="preserve">https://ecotap.nl/wp-content/uploads/2025/12/Duo-Wide-Nuvia-specs-EN.pdf</t>
  </si>
  <si>
    <t xml:space="preserve">Duo Wide AC44</t>
  </si>
  <si>
    <t xml:space="preserve">https://ecotap.nl/wp-content/uploads/2025/06/Duo-Wide-2X44kW-specs-EN.pdf</t>
  </si>
  <si>
    <t xml:space="preserve">Duo Wide XL Nuvia</t>
  </si>
  <si>
    <t xml:space="preserve">https://ecotap.nl/wp-content/uploads/2026/05/Duo-Wide-XL-Nuvia-specs-EN.pdf</t>
  </si>
  <si>
    <t xml:space="preserve">Built-in MID meter | Two-door public charger, up to 22kW/socket. MID certified Class B (EN 50470-1/-3); Eichrecht ref numbers also listed.</t>
  </si>
  <si>
    <t xml:space="preserve">Duo Wide Plus Nuvia</t>
  </si>
  <si>
    <t xml:space="preserve">https://ecotap.nl/wp-content/uploads/2026/05/Duo-Wide-Plus-Nuvia-specs-EN.pdf</t>
  </si>
  <si>
    <t xml:space="preserve">Built-in MID meter | MID certified Class B (EN 50470-1/-3), Eichrecht certified per marketing page.</t>
  </si>
  <si>
    <t xml:space="preserve">Homebox</t>
  </si>
  <si>
    <t xml:space="preserve">Built-in MID meter | Not found in Ecotap's current (2026) ecotap.nl model lineup during this research pass (Single/Duo/Duo Wide/Duo Wide XL/Duo Wide Plus/DC30/DC60/DC120 were the only models located) -- could be a legacy/renamed model. Needs direct verification.</t>
  </si>
  <si>
    <t xml:space="preserve">Elli</t>
  </si>
  <si>
    <t xml:space="preserve">Connect 1</t>
  </si>
  <si>
    <t xml:space="preserve">Technical/Chargers/AC Chargers/Elli</t>
  </si>
  <si>
    <t xml:space="preserve">No MID meter (VW/Skoda/Seat) | First-generation Elli Charger lineup (2020), superseded by current 'Charger 2' family (Connect 11/22, Pro 22, Pro 22 Eichrecht) -- no longer the active b2c lineup as of 2026.</t>
  </si>
  <si>
    <t xml:space="preserve">Charger 2 - Connect 22</t>
  </si>
  <si>
    <t xml:space="preserve">https://storage.googleapis.com/pimcore-webshop-b2c-prod/public/var/assets/docs/downloads/Technical%20Specifications/Charger_2_Tech_Sheet_EN_v1.3.pdf</t>
  </si>
  <si>
    <t xml:space="preserve">Elli official (elli.eco), Tech Sheet v1.3</t>
  </si>
  <si>
    <t xml:space="preserve">No MID meter (VW/Skoda/Seat) | Current generation. Type codes ENG22E102/ENG22E104. Confirmed 'Onboard' (non-MID) meter per Elli product page.</t>
  </si>
  <si>
    <t xml:space="preserve">Charger 2 - Pro 22</t>
  </si>
  <si>
    <t xml:space="preserve">Has MID meter (VW/Skoda/Seat) | Confirmed: 'Energy meter: MID-certified' per Elli product page. WiFi/Ethernet+LTE. Meter brand not disclosed -- hardware OEM is Kontron eSystems (formerly eSystems MTG), same platform used by VW ID.Charger and 'Selected by Volvo Cars' Wallbox.</t>
  </si>
  <si>
    <t xml:space="preserve">Eneco Mobility</t>
  </si>
  <si>
    <t xml:space="preserve">Eneco Connectric (R)</t>
  </si>
  <si>
    <t xml:space="preserve">Technical/Chargers/AC Chargers/Eneco Mobility</t>
  </si>
  <si>
    <t xml:space="preserve">MID compliant per email confirmation | STATUS: Both -- Eneco Mobility is predominantly a CPO/energy-retailer reselling genuine Alfen hardware (Eve Single S-line &lt;=11kW, Eve Single/Double Pro-line branded 'Alfen Pro' &lt;=22kW -- both confirmed MID-certified, meter brand Alfen), PLUS this one self-branded 'Connectric' unit. Connectric's own manufacturer/OEM is not publicly disclosed (described only as 'designed and manufactured in the Netherlands') -- no official Eneco-hosted datasheet PDF found this round, only the confirmation that it has an 'integrated MID certified energy meter' that is additionally Eichrecht-compliant.</t>
  </si>
  <si>
    <t xml:space="preserve">Enovates</t>
  </si>
  <si>
    <t xml:space="preserve">ENO one</t>
  </si>
  <si>
    <t xml:space="preserve">https://www.enovates.com/wp-content/uploads/2026/02/Leaflet-Single-Wallbox-ENG.pdf</t>
  </si>
  <si>
    <t xml:space="preserve">Technical/Chargers/AC Chargers/Enovates</t>
  </si>
  <si>
    <t xml:space="preserve">Enovates official (enovates.com)</t>
  </si>
  <si>
    <t xml:space="preserve">Built-in MID meter | 'Certified MID meter.' Certified by Notified Body NMi under Module B/D, also Mess und Eichrecht certified. DoC: https://www.enovates.com/wp-content/uploads/2025/11/DOC-ENO-ONE.pdf (not re-verified this round). Meter brand never disclosed anywhere on Enovates' materials.</t>
  </si>
  <si>
    <t xml:space="preserve">ENO business</t>
  </si>
  <si>
    <t xml:space="preserve">https://www.enovates.com/wp-content/uploads/2026/03/ENO-business_datasheet_FR.pdf</t>
  </si>
  <si>
    <t xml:space="preserve">Built-in MID meter | 'Compteur MID certifie classe B par point de charge' (MID class B meter per charge point). Up to 22kW/32A, 2 sockets. Only French PDF confirmed opens this round; English exists via download hub but exact filename unconfirmed. Meter brand never disclosed anywhere on Enovates' materials.</t>
  </si>
  <si>
    <t xml:space="preserve">ENO public</t>
  </si>
  <si>
    <t xml:space="preserve">https://www.enovates.com/wp-content/uploads/2025/04/Leaflet-Trapezium-EN.pdf</t>
  </si>
  <si>
    <t xml:space="preserve">Built-in MID meter | 'MID certified class B meter per EVSE.' Up to 22kW/32A per socket, 2x Type 2 sockets. Meter brand never disclosed anywhere on Enovates' materials.</t>
  </si>
  <si>
    <t xml:space="preserve">ENO truck</t>
  </si>
  <si>
    <t xml:space="preserve">https://www.enovates.com/wp-content/uploads/2025/04/Leaflet-truckcharger-EN.pdf</t>
  </si>
  <si>
    <t xml:space="preserve">Built-in MID meter | 'MID certified class B meter.' Up to 43kW/63A at 400V/50Hz, Mode 3, Type 2 cable ~7.5m. Meter brand never disclosed anywhere on Enovates' materials.</t>
  </si>
  <si>
    <t xml:space="preserve">Enphase</t>
  </si>
  <si>
    <t xml:space="preserve">IQ EV Charger 2</t>
  </si>
  <si>
    <t xml:space="preserve">https://enphase.com/en-gb/download/iq-ev-charger-2-data-sheet</t>
  </si>
  <si>
    <t xml:space="preserve">Technical/Chargers/AC Chargers/Enphase</t>
  </si>
  <si>
    <t xml:space="preserve">Enphase official (enphase.com/en-gb, EU-specific datasheet)</t>
  </si>
  <si>
    <t xml:space="preserve">Built-in MID meter | IMPORTANT: use the EU/UK datasheet URL specifically -- the generic enphase.com (NA) version uses ANSI C12.12, not MID. EU datasheet confirms 'Built-in Class B-certified MID meter', +/-1% accuracy, EN 50470-1/-3. Sold tethered/socketed, single/three-phase up to 22kW. Enphase's only current EU EV charger model (AC only, no DC).</t>
  </si>
  <si>
    <t xml:space="preserve">Etrel</t>
  </si>
  <si>
    <t xml:space="preserve">INCH Pro</t>
  </si>
  <si>
    <t xml:space="preserve">https://etrel.com/wp-content/uploads/2026/04/Brosura_INCH-Pro_2026_web.pdf</t>
  </si>
  <si>
    <t xml:space="preserve">Technical/Chargers/AC Chargers/Etrel</t>
  </si>
  <si>
    <t xml:space="preserve">Etrel official (etrel.com), 2026 brochure</t>
  </si>
  <si>
    <t xml:space="preserve">MID as option; not standard | MID Status corrected to Maybe to match the notes column (datasheet states 'Energy meter Yes, MID optional' -- not standard). 7.4kW (1x32A) or 22kW (3x32A). Etrel was relaunched by new owner KD Group in March 2025 after Landis+Gyr exited the business -- current lineup is slimmed to just INCH Duo and INCH Pro; older INCH Home/INCH Core are discontinued with no current datasheet.</t>
  </si>
  <si>
    <t xml:space="preserve">EVBox</t>
  </si>
  <si>
    <t xml:space="preserve">Livo</t>
  </si>
  <si>
    <t xml:space="preserve">Technical/Chargers/AC Chargers/EVBox</t>
  </si>
  <si>
    <t xml:space="preserve">No MID certification | IMPORTANT CONTEXT: EVBox Group was shut down by parent Engie in Oct 2024 (~EUR800M losses). AC business (Elvi/Livo/Liviqo/BusinessLine) is now wind-down/after-sales-only via evaftersales.com, NOT actively sold. Livo page states meter 'Class A accuracy +/-2%, EN 50470-3' (MID-relevant standard) but page access was blocked (403) this round so exact MID wording unconfirmed — hence Maybe not Yes.</t>
  </si>
  <si>
    <t xml:space="preserve">Businessline (hub/4g/Elvico)</t>
  </si>
  <si>
    <t xml:space="preserve">https://assets.cef.co.uk/downloads/pdg/evbox_gen4_businessline_datasheet/evbox_gen4_businessline_datasheet.pdf</t>
  </si>
  <si>
    <t xml:space="preserve">Filed to Drive (pending) - distributor mirror</t>
  </si>
  <si>
    <t xml:space="preserve">CEF (UK distributor) mirror of EVBox Gen4 BusinessLine datasheet — official evbox.com/evaftersales.com direct PDF is dynamically served and could not be resolved</t>
  </si>
  <si>
    <t xml:space="preserve">Built-in MID meter | evaftersales.com explicitly confirms 'MID-certified meter' for BusinessLine — strongest explicit MID confirmation in the whole EVBox AC lineup. Status: legacy/discontinued (wind-down support only, best-selling historical model).</t>
  </si>
  <si>
    <t xml:space="preserve">Elvi MID</t>
  </si>
  <si>
    <t xml:space="preserve">https://assets.cef.co.uk/downloads/pdg/evbox_elvi_datasheet/evbox_elvi_datasheet.pdf</t>
  </si>
  <si>
    <t xml:space="preserve">EVBox Elvi datasheet (CEF)</t>
  </si>
  <si>
    <t xml:space="preserve">Built-in MID meter | Confirmed: optional 3-phase S-Bus MID-certified kWh meter in wall dock. Meter brand/model not disclosed in public datasheet. | Corporate context: EVBox AC business is now wind-down/after-sales-only (evaftersales.com), not actively sold new as of 2026 — flag as legacy in the tracker even though 'Filed to Drive'. | FIX: was mislabeled 'Filed to Drive' but the URL was never actually added to manifest.csv in any prior batch -- corrected to 'download pending' and queued now.</t>
  </si>
  <si>
    <t xml:space="preserve">Flexicharge</t>
  </si>
  <si>
    <t xml:space="preserve">Home (met stroomverrekening)</t>
  </si>
  <si>
    <t xml:space="preserve">https://flexicharge.b-cdn.net/wp-content/uploads/2026/01/TS-NED-80037_80038-Flexicharge-Home-5m-kabel.pdf</t>
  </si>
  <si>
    <t xml:space="preserve">Technical/Chargers/AC Chargers/Flexicharge</t>
  </si>
  <si>
    <t xml:space="preserve">Datasheet found, download pending (unverified - CDN blocked direct binary fetch, link confirmed live on current site)</t>
  </si>
  <si>
    <t xml:space="preserve">Flexicharge official (flexicharge.nl)</t>
  </si>
  <si>
    <t xml:space="preserve">Standard integrated MID meter | SPLIT from single seed row -- 'Home' is actually 2 SKUs differing by billing/settlement config, same hardware. 3.7-13.75kW, fixed 5m Type 2 cable. MID cert: https://flexicharge.b-cdn.net/wp-content/uploads/2025/06/EV1_EV3_MID_ModD.pdf</t>
  </si>
  <si>
    <t xml:space="preserve">Business Solo (1x22kW)</t>
  </si>
  <si>
    <t xml:space="preserve">https://flexicharge.b-cdn.net/wp-content/uploads/2026/01/TS-NED-80027-Flexicharge-Business-Solo-1x22kW.pdf</t>
  </si>
  <si>
    <t xml:space="preserve">Datasheet found, download pending (unverified - CDN blocked direct binary fetch)</t>
  </si>
  <si>
    <t xml:space="preserve">Standard integrated MID meter | SPLIT from combined seed row -- Duo and Solo are genuinely separate SKUs (standalone pedestal, single vs dual socket). 3.7-22kW variable.</t>
  </si>
  <si>
    <t xml:space="preserve">Business Wall Solo (1x22kW)</t>
  </si>
  <si>
    <t xml:space="preserve">https://flexicharge.b-cdn.net/wp-content/uploads/2026/01/TS-NED-80025-Flexicharge-Business-Wall-Solo-1x22kW.pdf</t>
  </si>
  <si>
    <t xml:space="preserve">Standard integrated MID meter | SPLIT from combined seed row -- wall-mounted variant of Business Solo/Duo. MID confirmed via 2023 spec PDF ('kWh meter MID gecertificeerd').</t>
  </si>
  <si>
    <t xml:space="preserve">Business Transport (1x44kW)</t>
  </si>
  <si>
    <t xml:space="preserve">https://flexicharge.b-cdn.net/wp-content/uploads/2026/01/TS-NED-Flexicharge-Business-Transport-1x-44kW-kabel.pdf</t>
  </si>
  <si>
    <t xml:space="preserve">Standard integrated MID meter | AC (not DC despite '44kW' truck-charging context) -- fixed 6m cable, single socket. MID certificate explicitly linked on current product page.</t>
  </si>
  <si>
    <t xml:space="preserve">Public (2x22kW)</t>
  </si>
  <si>
    <t xml:space="preserve">https://flexicharge.b-cdn.net/wp-content/uploads/2026/01/TS-NED-80050-Flexicharge-Public-2x-22-kW.pdf</t>
  </si>
  <si>
    <t xml:space="preserve">Standard integrated MID meter | Unlike every other Flexicharge model, no MID certificate PDF is linked on this product's page and no explicit 'MID' text was captured -- page mentions backend-managed billing instead. Treat as unverified pending direct PDF check. Flexicharge also sells an 11-SKU DC fast-charging range (40-240kW CCS) and 2 e-bike products (Bike/Bike Wall, no MID) -- out of scope of the AC 'laadpaal' family this KB tracks, flagged for a scope decision.</t>
  </si>
  <si>
    <t xml:space="preserve">Garo</t>
  </si>
  <si>
    <t xml:space="preserve">GLB (Wallbox, single-head)</t>
  </si>
  <si>
    <t xml:space="preserve">https://www.garo.se/storage/DA05CEA472104BD36276B8DED29572AD10F46005AAB23FA4B0C99DEB9D174782/5d349d40fffc4fc49b034836c117835c/pdf/media/4b89db14032146ab8489d015d727938f/GLB%20Full%20Guide%20380185%204.2.pdf</t>
  </si>
  <si>
    <t xml:space="preserve">Technical/Chargers/AC Chargers/Garo</t>
  </si>
  <si>
    <t xml:space="preserve">AC | FIXED: original seed row had a CSV parsing corruption (model name split across cells). GARO doesn't publish per-model 'datasheet' PDFs -- closest official doc is the Installation &amp; Operation Manual containing the full technical-data section. Family in active SKU transition (older GLB/Twin being phased out for Entity); some SKUs on this line are explicitly marked 'discontinued product' on garo.se -- verify exact article number before compliance filing.</t>
  </si>
  <si>
    <t xml:space="preserve">go-e</t>
  </si>
  <si>
    <t xml:space="preserve">Gemini 2.0</t>
  </si>
  <si>
    <t xml:space="preserve">https://go-e.com/fileadmin/Support/Anleitungen/Englisch/go-e-charger-gemini-2-0-data-sheet.pdf</t>
  </si>
  <si>
    <t xml:space="preserve">Technical/Chargers/AC Chargers/go-e</t>
  </si>
  <si>
    <t xml:space="preserve">go-e official (go-e.com)</t>
  </si>
  <si>
    <t xml:space="preserve">No MID meter; not allowed in Netherlands | Adds built-in 4G LTE vs base Gemini. Confirmed no MID/calibrated meter. This is also where the legacy 'go-eCharger HOMEfix' URL now redirects (HOMEfix discontinued/superseded).</t>
  </si>
  <si>
    <t xml:space="preserve">CORE</t>
  </si>
  <si>
    <t xml:space="preserve">https://go-e.com/fileadmin/Support/Anleitungen/Englisch/go-e-charger-core-data-sheet.pdf</t>
  </si>
  <si>
    <t xml:space="preserve">No MID meter | Datasheet explicitly: 'The go-e Charger CORE series is similar to the PRO series but is NOT MID certified.' No MID SKU exists for CORE.</t>
  </si>
  <si>
    <t xml:space="preserve">PRO CABLE</t>
  </si>
  <si>
    <t xml:space="preserve">https://go-e.com/fileadmin/Support/Anleitungen/Englisch/go-e-charger-pro-datasheet.pdf</t>
  </si>
  <si>
    <t xml:space="preserve">MID meter included | Integrated MID-compliant meter, but explicitly marked 'No' for full German Mess-und-Eichrecht compliance -- MID-certified hardware but not sealed for legal-for-trade billing. See 'PRO CABLE ME' row for the fully billing-grade variant.</t>
  </si>
  <si>
    <t xml:space="preserve">Grasen</t>
  </si>
  <si>
    <t xml:space="preserve">EV Wallcharger</t>
  </si>
  <si>
    <t xml:space="preserve">Technical/Chargers/AC Chargers/Grasen</t>
  </si>
  <si>
    <t xml:space="preserve">Grasen official (grasen.com / grasencharge.com)</t>
  </si>
  <si>
    <t xml:space="preserve">No MID meter | DATA QUALITY WARNING: manufacturer Luoyang Grasen Power Technology Co., Ltd. runs 3 parallel marketing domains (grasen.com, grasencharge.com, grasen-power.com) publishing near-identical 7/11/22kW AC wallbox specs under half a dozen SEO landing-page names ('EV Wall Charger', 'Home EV Charger', '7kW Home Charger', 'Level 2 EV Charger', generic 'AC EV Charger') -- these appear to be 1-2 real underlying SKUs, not distinct products. MID is inconsistently advertised across these pages even for what may be the same physical unit -- treat as 'MID available as an option, inconsistently marketed' rather than a firm per-name yes/no. No meter brand or MID certificate found anywhere. Confirmed genuine manufacturer (Alibaba storefront, LinkedIn, app listings all corroborate), not a shell/reseller.</t>
  </si>
  <si>
    <t xml:space="preserve">Level 2 Charger</t>
  </si>
  <si>
    <t xml:space="preserve">Built-in MID meter | DATA QUALITY WARNING: manufacturer Luoyang Grasen Power Technology Co., Ltd. runs 3 parallel marketing domains (grasen.com, grasencharge.com, grasen-power.com) publishing near-identical 7/11/22kW AC wallbox specs under half a dozen SEO landing-page names ('EV Wall Charger', 'Home EV Charger', '7kW Home Charger', 'Level 2 EV Charger', generic 'AC EV Charger') -- these appear to be 1-2 real underlying SKUs, not distinct products. MID is inconsistently advertised across these pages even for what may be the same physical unit -- treat as 'MID available as an option, inconsistently marketed' rather than a firm per-name yes/no. No meter brand or MID certificate found anywhere. Confirmed genuine manufacturer (Alibaba storefront, LinkedIn, app listings all corroborate), not a shell/reseller.</t>
  </si>
  <si>
    <t xml:space="preserve">Home Charger</t>
  </si>
  <si>
    <t xml:space="preserve">Hager</t>
  </si>
  <si>
    <t xml:space="preserve">witty park 2</t>
  </si>
  <si>
    <t xml:space="preserve">https://assets.hager.com/step-content/P/PDS_523170600501FR/Document/std.lang.all/XVP222S_0501_fr-FR.pdf</t>
  </si>
  <si>
    <t xml:space="preserve">Technical/Chargers/AC Chargers/Hager</t>
  </si>
  <si>
    <t xml:space="preserve">Datasheet found, download pending (French only)</t>
  </si>
  <si>
    <t xml:space="preserve">Hager official (assets.hager.com)</t>
  </si>
  <si>
    <t xml:space="preserve">No built-in MID meter | CORRECTION vs seed (was No): datasheet explicitly states 'deux compteurs MID' (two MID meters, one per charging point). Dual 22kW public/tertiary parking product.</t>
  </si>
  <si>
    <t xml:space="preserve">witty one</t>
  </si>
  <si>
    <t xml:space="preserve">https://assets.hager.com/step-content/P/PDS_495634080000EN/Document/std.lang.all/XVR111C_0000_en-GB.pdf</t>
  </si>
  <si>
    <t xml:space="preserve">No built-in MID meter | Confirmed No MID -- entry-level residential 2.3-11kW, no calibrated-meter language.</t>
  </si>
  <si>
    <t xml:space="preserve">witty plus</t>
  </si>
  <si>
    <t xml:space="preserve">https://assets.hager.com/step-content/P/PDS_520904420501FR/Document/std.lang.all/PDS_XVL122STI_0501_fr-FR.pdf</t>
  </si>
  <si>
    <t xml:space="preserve">Hager official (assets.hager.com); NL product page confirms MID</t>
  </si>
  <si>
    <t xml:space="preserve">Built-in MID meter | Confirmed via NL product page: 'Witty plus bevat een MID gecertificeerde meter.' 22kW.</t>
  </si>
  <si>
    <t xml:space="preserve">witty pro</t>
  </si>
  <si>
    <t xml:space="preserve">https://assets.hager.com/step-content/P/PDS_520906750501FR/Document/std.lang.all/PDS_XVL122SLM_0501_fr-FR.pdf</t>
  </si>
  <si>
    <t xml:space="preserve">Built-in MID meter | Confirmed via installation manual: built-in MID meter, Class index B, 0.25-32A. Private/collective parking, OCPP/RFID/web app.</t>
  </si>
  <si>
    <t xml:space="preserve">Hey One</t>
  </si>
  <si>
    <t xml:space="preserve">Hey! One Smart</t>
  </si>
  <si>
    <t xml:space="preserve">https://heycharging.com/wp-content/uploads/2026/04/HEY_nl_handleiding_ONE_smart_2.09-1.pdf</t>
  </si>
  <si>
    <t xml:space="preserve">Technical/Chargers/AC Chargers/Hey One</t>
  </si>
  <si>
    <t xml:space="preserve">Filed to Drive (covered by combined S-line/Pro-line datasheet)</t>
  </si>
  <si>
    <t xml:space="preserve">Hey! Charging official (heycharging.com)</t>
  </si>
  <si>
    <t xml:space="preserve">MID meter; ERE suitable | CORRECTED (seed combined 2 names from different eras): current lineup (manual v2.09) is just 2 tiers, Base and Smart -- 'Connect Plus' is legacy naming (see separate row). This row = current flagship 'One Smart'. Manual: 'Stroommeters: MID gecertificeerd.' Meter brand not named. Document is a user manual, not a formal datasheet.</t>
  </si>
  <si>
    <t xml:space="preserve">Meter</t>
  </si>
  <si>
    <t xml:space="preserve">Inepro</t>
  </si>
  <si>
    <t xml:space="preserve">PRO380-Mod (MID &amp; MIR)</t>
  </si>
  <si>
    <t xml:space="preserve">https://cdn.prod.website-files.com/6617f74190bf0a53bfd776e8/6895a3960dd2b8c57094e560_PRO380%20user%20manual%20V2.18-7-1.pdf</t>
  </si>
  <si>
    <t xml:space="preserve">https://cdn.prod.website-files.com/6617f74190bf0a53bfd776e8/6739e334ebf91b07fc68385c_MID%20PRO380%202024%20-%202034.pdf</t>
  </si>
  <si>
    <t xml:space="preserve">Technical/Meters/Inepro</t>
  </si>
  <si>
    <t xml:space="preserve">Inepro official (ineprometering.com)</t>
  </si>
  <si>
    <t xml:space="preserve">MID-certified energy meter (not a charger; meter component) | RECLASSIFIED: Inepro is a Dutch METER/submetering manufacturer, NOT a full EV charging station maker -- Record Type changed from Charger to Meter. Three-phase DIN-rail/PCB-mount kWh meter; PRO380-Compact variant is PCB-mountable for direct OEM board integration. NMi MID certificate valid 2024-2034 (URL sourced from official product page, not independently re-verified this round). VALUABLE FINDING for meter-brand ID effort: confirmed via an official case study that Inepro's PRO380-Compact is embedded inside the Ratio io6 Pro charging station -- cross-reference against Ratio Electric's tracker rows.</t>
  </si>
  <si>
    <t xml:space="preserve">KEBA</t>
  </si>
  <si>
    <t xml:space="preserve">KeContact P30 a-series</t>
  </si>
  <si>
    <t xml:space="preserve">Technical/Chargers/AC Chargers/KEBA</t>
  </si>
  <si>
    <t xml:space="preserve">No built-in MID meter | Confirmed current, entry-level/offline, no meter option at all (not just 'no MID' — no metering hardware whatsoever). Source: https://www.keba.com/en/emobility/products/a-series/</t>
  </si>
  <si>
    <t xml:space="preserve">KeContact P30 c-series</t>
  </si>
  <si>
    <t xml:space="preserve">https://www.keba.com/file/downloads/e-mobility/KeContact_P30_Datenblatt_EN.pdf</t>
  </si>
  <si>
    <t xml:space="preserve">KEBA official (keba.com/file/downloads, stable legacy-hosted path, content-verified)</t>
  </si>
  <si>
    <t xml:space="preserve">MID as option | Official datasheet confirmed: 'integrated electricity meter, optionally MID-certified or compliant to gauging/calibration standards (ME).' MID is OPTIONAL not standard.</t>
  </si>
  <si>
    <t xml:space="preserve">KeContact P30 x-series</t>
  </si>
  <si>
    <t xml:space="preserve">Datasheet found, download pending (covered by combined c/x-series datasheet)</t>
  </si>
  <si>
    <t xml:space="preserve">KEBA official (keba.com/file/downloads, content-verified)</t>
  </si>
  <si>
    <t xml:space="preserve">MID as option | Official datasheet confirmed: 'integrated electricity meter offered in two variants: MID-certified or compliant with German calibration standards (ME), both optional.' Premium/commercial flagship of P30 line, OCPP master for up to 15 c-series units.</t>
  </si>
  <si>
    <t xml:space="preserve">P30 Wallbox</t>
  </si>
  <si>
    <t xml:space="preserve">https://www.go-e.sk/wp-content/uploads/2019/09/kecontactp30technicaldata_dben.pdf</t>
  </si>
  <si>
    <t xml:space="preserve">KEBA KeContact P30 technical datasheet (mirror)</t>
  </si>
  <si>
    <t xml:space="preserve">Built-in MID meter | This generic 'P30 Wallbox' entry is superseded by the c-series/x-series rows above, which now carry the official KEBA datasheet URL (replacing the go-e.sk mirror). Recommend treating those two rows as authoritative going forward.</t>
  </si>
  <si>
    <t xml:space="preserve">P30 PV</t>
  </si>
  <si>
    <t xml:space="preserve">Built-in MID meter | CORRECTION vs. Zeres seed data: official KEBA comparison table shows the 'MID-certified' and 'German calibration law (ME)' rows as BLANK for PV Edition — it has NO built-in MID meter (works with an external KeContact E10 Smart Energy Meter for solar-surplus detection only, not for billing). Source: https://www.keba.com/en/emobility/products/editions/pv-edition</t>
  </si>
  <si>
    <t xml:space="preserve">Loxone</t>
  </si>
  <si>
    <t xml:space="preserve">Wallbox 11kW 16A Tree</t>
  </si>
  <si>
    <t xml:space="preserve">https://www.loxone.com/wp-content/uploads/datasheets/Datasheet_Wallbox11kW16ATree_100526.pdf</t>
  </si>
  <si>
    <t xml:space="preserve">Technical/Chargers/AC Chargers/Loxone</t>
  </si>
  <si>
    <t xml:space="preserve">Loxone official (loxone.com)</t>
  </si>
  <si>
    <t xml:space="preserve">Standard is no; MID variant available | CORRECTION vs seed (was Maybe/'MID variant available'): the 11kW Tree has NO built-in meter at all -- an external meter (Modbus or Loxone Energy Meter Tree on the integrated DIN rail) is required. The ACTUAL MID-equipped model is the separate 22kW Tree unit (Part 100677) -- see new row below. There is no '11kW MID variant' as such.</t>
  </si>
  <si>
    <t xml:space="preserve">Mennekes</t>
  </si>
  <si>
    <t xml:space="preserve">Amtron 4you 560 11 C2</t>
  </si>
  <si>
    <t xml:space="preserve">https://www.mennekes.org/fileadmin/products_media/medien_sge2/produktdatenblaetter/20241218/1315011205BK_en.pdf</t>
  </si>
  <si>
    <t xml:space="preserve">Technical/Chargers/AC Chargers/Mennekes</t>
  </si>
  <si>
    <t xml:space="preserve">Mennekes.org official product datasheet</t>
  </si>
  <si>
    <t xml:space="preserve">Built-in MID meter | URL confirmed working via WebFetch; browser download to Drive failed silently, needs retry. | Confirmed part of the '4You 400/500' family pattern: base tiers (110/310/410/510) have no meter, 'x60' tiers (460, 560) add the MID meter.</t>
  </si>
  <si>
    <t xml:space="preserve">AMTRON 4You 310</t>
  </si>
  <si>
    <t xml:space="preserve">https://www.mennekes.org/fileadmin/products_media/medien_sge2/produktdatenblaetter/20241218/1313201205BK_en.pdf</t>
  </si>
  <si>
    <t xml:space="preserve">Mennekes official (mennekes.org)</t>
  </si>
  <si>
    <t xml:space="preserve">No MID meter | Solar/PV charging tier with RFID; page confirms use of an EXTERNAL energy meter for load management, no built-in MID meter.</t>
  </si>
  <si>
    <t xml:space="preserve">NexBlue</t>
  </si>
  <si>
    <t xml:space="preserve">Edge 2</t>
  </si>
  <si>
    <t xml:space="preserve">https://cdn.shopify.com/s/files/1/0686/5276/1363/files/NexBlue_NexBlue_Edge_2_Product_sheet_SV.pdf?v=1776155900</t>
  </si>
  <si>
    <t xml:space="preserve">https://cdn.shopify.com/s/files/1/0686/5276/1363/files/NexBlue_Edge_2_NB1620B_EU_Declaration_of_Conformity.pdf?v=1759806703</t>
  </si>
  <si>
    <t xml:space="preserve">Technical/Chargers/AC Chargers/NexBlue</t>
  </si>
  <si>
    <t xml:space="preserve">Datasheet found, download pending (unverified - Shopify CDN blocked direct fetch, URL confirmed on live site)</t>
  </si>
  <si>
    <t xml:space="preserve">NexBlue official (nexblue.com)</t>
  </si>
  <si>
    <t xml:space="preserve">No MID meter | Built-in energy meter +/-1% accuracy but NOT marketed as MID-certified. Commonly paired with separate 'NexBlue Zen' P1-meter accessory when MID-grade billing is required. 1.4-22kW, 1/3-phase, Type 2 socket, max 32A.</t>
  </si>
  <si>
    <t xml:space="preserve">Edge Max</t>
  </si>
  <si>
    <t xml:space="preserve">https://cdn.shopify.com/s/files/1/0686/5276/1363/files/NexBlue_NexBlue_Edge_Max_Product_sheet_SV.pdf?v=1776155880</t>
  </si>
  <si>
    <t xml:space="preserve">https://cdn.shopify.com/s/files/1/0686/5276/1363/files/NexBlue_Edge_Max_NB1620C_EU_Declaration_of_Conformity.pdf?v=1759807199</t>
  </si>
  <si>
    <t xml:space="preserve">Datasheet found, download pending (unverified - Shopify CDN blocked direct fetch)</t>
  </si>
  <si>
    <t xml:space="preserve">Built-in MID meter | SPLIT from combined seed row -- Edge Max and Delta Max are genuinely 2 distinct SKUs (NB1620C vs NB1620E), see new Delta Max row. Official page: 'MID-Certified', 'EU Type Examination Certificate per 2014/32/EU (MID),' MID Class B +/-1% (EN 50470-3:2022). Meter brand not disclosed.</t>
  </si>
  <si>
    <t xml:space="preserve">Ohme</t>
  </si>
  <si>
    <t xml:space="preserve">Technical/Chargers/AC Chargers/Ohme</t>
  </si>
  <si>
    <t xml:space="preserve">No MID meter | Generic seed label doesn't map cleanly to Ohme's actual current lineup (Home Pro, ePod, Go) -- see specific model rows added below.</t>
  </si>
  <si>
    <t xml:space="preserve">Home Pro 11kW MID</t>
  </si>
  <si>
    <t xml:space="preserve">https://ohme-ev.com/nl/wp-content/uploads/sites/24/2026/04/March-26-NL_HomePro_11kW_MID_Product_Data_Sheet_.pdf</t>
  </si>
  <si>
    <t xml:space="preserve">Ohme official (ohme-ev.com/nl), April 2026</t>
  </si>
  <si>
    <t xml:space="preserve">No MID; Pro MID available from 2026 | CONFIRMED (was Maybe/'available from 2026' in seed): this is now live. 3-phase 400V, 16A. Ohme's ONLY model with a built-in MID meter, confirmed by erecentrum.nl too. Meter brand not disclosed.</t>
  </si>
  <si>
    <t xml:space="preserve">Peblar</t>
  </si>
  <si>
    <t xml:space="preserve">Business</t>
  </si>
  <si>
    <t xml:space="preserve">https://peblar.com/hubfs/EN_Peblar%20AC%20chargers_R06.pdf</t>
  </si>
  <si>
    <t xml:space="preserve">Technical/Chargers/AC Chargers/Peblar</t>
  </si>
  <si>
    <t xml:space="preserve">Peblar official (peblar.com)</t>
  </si>
  <si>
    <t xml:space="preserve">MID in business variant | Confirmed MID-certified meter, optional Eichrecht module B/D, ISO 15118 Plug and Charge. 1/3-phase, 7.4/22kW, 32A.</t>
  </si>
  <si>
    <t xml:space="preserve">No built-in MID meter | Confirmed: meter is indicative only, Class B accuracy +/-1% per EN 50470-3:2006, explicitly NOT MID certified. 1/3-phase, 3.7/11kW.</t>
  </si>
  <si>
    <t xml:space="preserve">Home Plus</t>
  </si>
  <si>
    <t xml:space="preserve">MID in Plus variant | Not found in Peblar's current (2026) official lineup during this research pass (only Home, Business, Dual, White Label were located) -- may be a legacy/renamed model. Needs direct verification.</t>
  </si>
  <si>
    <t xml:space="preserve">Pro Drive</t>
  </si>
  <si>
    <t xml:space="preserve">For Heijmans/van Mossel; serial starts PBDR | Not found in Peblar's current (2026) official lineup during this research pass -- seed notes it's for Heijmans/van Mossel specifically (custom/OEM variant), which may explain why it's not on the public site. Needs direct verification with Peblar or the named partners.</t>
  </si>
  <si>
    <t xml:space="preserve">Raedian</t>
  </si>
  <si>
    <t xml:space="preserve">NEO</t>
  </si>
  <si>
    <t xml:space="preserve">https://www.raedian.com/wp-content/uploads/2025/07/NEO-Datasheet.pdf</t>
  </si>
  <si>
    <t xml:space="preserve">Technical/Chargers/AC Chargers/Raedian</t>
  </si>
  <si>
    <t xml:space="preserve">Raedian official (raedian.com)</t>
  </si>
  <si>
    <t xml:space="preserve">No MID in base model | 'MID Certified Class B (+/-1% Accuracy)', EN 50470-3/EN 62053-23, 1000 imp/kWh pulse output. Single-phase up to 7.4kW, three-phase up to 22kW.</t>
  </si>
  <si>
    <t xml:space="preserve">Neo 22 T7 5.S</t>
  </si>
  <si>
    <t xml:space="preserve">Reseller Wallbox Discounter SKU code</t>
  </si>
  <si>
    <t xml:space="preserve">NEO variant with MID meter | CONSOLIDATED: this is not a distinct model -- it's a reseller/distributor SKU-configuration code (22kW, Type 2, ~5m cable, socket variant) for the base NEO product above. Merged; see NEO row for datasheet/MID status.</t>
  </si>
  <si>
    <t xml:space="preserve">NEO Plus</t>
  </si>
  <si>
    <t xml:space="preserve">Filed to Drive (covered by combined NEO/NEO Plus datasheet)</t>
  </si>
  <si>
    <t xml:space="preserve">Built-in MID meter | Genuinely distinct from base NEO -- adds integrated display + RFID card reader. Same 11/22kW range, MID Class B +/-1%, same combined datasheet as NEO.</t>
  </si>
  <si>
    <t xml:space="preserve">NEX</t>
  </si>
  <si>
    <t xml:space="preserve">https://www.raedian.com/wp-content/uploads/2025/07/NEX-Datasheet.pdf</t>
  </si>
  <si>
    <t xml:space="preserve">Built-in MID meter | Commercial/industrial AC charging solution. 'MID Certified Class B (+/-1% Accuracy).' Single-phase to 7.4kW, three-phase to 22kW.</t>
  </si>
  <si>
    <t xml:space="preserve">GEMINI</t>
  </si>
  <si>
    <t xml:space="preserve">https://www.raedian.com/wp-content/uploads/2025/07/Gemini-Datasheet.pdf</t>
  </si>
  <si>
    <t xml:space="preserve">Datasheet found, download pending (unverified - persistent proxy 429 errors, URL likely valid per naming pattern)</t>
  </si>
  <si>
    <t xml:space="preserve">Built-in MID meter | Dual-outlet public/commercial charger (22kWx2), 8in display, RFID/card payment, IP55/IK10, OCPP 1.6J. Product page: 'MID-certified for compliant energy metering and billing,' also references Eichrecht for Germany.</t>
  </si>
  <si>
    <t xml:space="preserve">NORA</t>
  </si>
  <si>
    <t xml:space="preserve">https://www.raedian.com/wp-content/uploads/2025/07/NORA-Datasheet.pdf</t>
  </si>
  <si>
    <t xml:space="preserve">Built-in MID meter | Portable/mobile AC wallbox, 7/11/22kW, CEE-plug or hardwired. Unlike NEO/NEX/Gemini, neither the product page nor the user manual explicitly mentions MID -- genuine gap, not just a fetch artifact. Raedian also sells DC fast chargers (Galaxy W 30/40kW, Galaxy V 50/60/80kW), not in seed data and not yet researched -- flag for a future pass.</t>
  </si>
  <si>
    <t xml:space="preserve">Ratio Electric</t>
  </si>
  <si>
    <t xml:space="preserve">io6 4G</t>
  </si>
  <si>
    <t xml:space="preserve">https://www.ratio-electric.com/media/files/Manual_Ratio_io6_EN_jun.23.pdf</t>
  </si>
  <si>
    <t xml:space="preserve">Technical/Chargers/AC Chargers/Ratio Electric</t>
  </si>
  <si>
    <t xml:space="preserve">Datasheet found, download pending (manual, not a formal datasheet -- per-model PDFs are gated behind a lead-capture form on ratio.nl)</t>
  </si>
  <si>
    <t xml:space="preserve">Ratio Electric official (ratio-electric.com)</t>
  </si>
  <si>
    <t xml:space="preserve">Base model; last 5 serial digits &lt;25000 | Confirmed: 'With MID compliant energy meter: No' but 'With energy meter: Yes' (non-billing-grade). Built-in 4G/SIM. 11-22kW.</t>
  </si>
  <si>
    <t xml:space="preserve">io6 Pro MID</t>
  </si>
  <si>
    <t xml:space="preserve">Datasheet found, download pending (manual, not formal datasheet)</t>
  </si>
  <si>
    <t xml:space="preserve">Ratio Electric official (ratio.nl)</t>
  </si>
  <si>
    <t xml:space="preserve">Built-in MID meter | Confirmed: 'geintegreerde MID-gecertificeerde meter' for business billing. 3-phase, 380V, 11-22kW.</t>
  </si>
  <si>
    <t xml:space="preserve">io7 (Double 22kW MID)</t>
  </si>
  <si>
    <t xml:space="preserve">https://www.ratio-electric.com/media/files/io7%20manual%20ENG.pdf</t>
  </si>
  <si>
    <t xml:space="preserve">Built-in MID meter | Confirmed: 'two certified and integrated MID meters' (dual-connector unit). AC 1-phase/3-phase up to 22kW/socket.</t>
  </si>
  <si>
    <t xml:space="preserve">Solar</t>
  </si>
  <si>
    <t xml:space="preserve">https://www.ratio-electric.com/media/files/Manual%20Ratio%20Smart_Ratio%20Solar%20EN_feb.23.pdf</t>
  </si>
  <si>
    <t xml:space="preserve">No built-in MID meter | Confirmed base Solar model, no MID meter. This is the non-MID sibling of 'Solar MID' (see new row).</t>
  </si>
  <si>
    <t xml:space="preserve">Solid</t>
  </si>
  <si>
    <t xml:space="preserve">https://www.ratio-electric.com/media/files/Manual%20Ratio%20Solid%20EN_feb.23.pdf</t>
  </si>
  <si>
    <t xml:space="preserve">Built-in MID meter | CORRECTION vs seed (was Yes): official spec table shows 'With MID compliant energy meter: No' across all 3 listed SKUs -- has a built-in kWh meter but it's NOT MID-certified/billing-grade.</t>
  </si>
  <si>
    <t xml:space="preserve">Schneider Electric</t>
  </si>
  <si>
    <t xml:space="preserve">EVlink Pro AC</t>
  </si>
  <si>
    <t xml:space="preserve">https://download.schneider-electric.com/files?p_Doc_Ref=EVB3ACDS01&amp;p_File_name=998-22626503_EVlink+Pro+AC_GMA_Data+sheet_QA2.pdf</t>
  </si>
  <si>
    <t xml:space="preserve">Technical/Chargers/AC Chargers/Schneider Electric</t>
  </si>
  <si>
    <t xml:space="preserve">Schneider Electric official download (EVlink Pro AC)</t>
  </si>
  <si>
    <t xml:space="preserve">Built-in MID meter | Filed under EVlink Pro AC product line, the closest official match to Zeres's 'Charge Pro' listing. | Confirmed SKU convention: commercial reference ending in 'M' = MID-certified meter variant (e.g. EVB3S22NC0M), no 'M' = non-MID (e.g. EVB3S11N4A) — same physical unit, meter module differs by SKU. Renamed row from Zeres's 'Charge Pro' to the correct official product name 'EVlink Pro AC'.</t>
  </si>
  <si>
    <t xml:space="preserve">Shell Recharge (New Motion)</t>
  </si>
  <si>
    <t xml:space="preserve">Technical/Chargers/AC Chargers/Shell Recharge (New Motion)</t>
  </si>
  <si>
    <t xml:space="preserve">Standard built-in MID meter</t>
  </si>
  <si>
    <t xml:space="preserve">Home Advanced 1.0/1.1</t>
  </si>
  <si>
    <t xml:space="preserve">No standard built-in MID meter</t>
  </si>
  <si>
    <t xml:space="preserve">Home Advanced 2.0/2.1</t>
  </si>
  <si>
    <t xml:space="preserve">Home Advanced 3.0</t>
  </si>
  <si>
    <t xml:space="preserve">MID-certified meter</t>
  </si>
  <si>
    <t xml:space="preserve">Business Lite</t>
  </si>
  <si>
    <t xml:space="preserve">Business Pro</t>
  </si>
  <si>
    <t xml:space="preserve">Lolo 2</t>
  </si>
  <si>
    <t xml:space="preserve">No MID meter</t>
  </si>
  <si>
    <t xml:space="preserve">Lolo 3</t>
  </si>
  <si>
    <t xml:space="preserve">Sigenergy</t>
  </si>
  <si>
    <t xml:space="preserve">Sigen EV AC Charger (7/11/22)</t>
  </si>
  <si>
    <t xml:space="preserve">https://www.sigenergy.com/uploads/en_download/1693469297981431.pdf</t>
  </si>
  <si>
    <t xml:space="preserve">Technical/Chargers/AC Chargers/Sigenergy</t>
  </si>
  <si>
    <t xml:space="preserve">Sigenergy official (sigenergy.com)</t>
  </si>
  <si>
    <t xml:space="preserve">Metering IC only; no MID certification | Confirmed via official datasheet: only 'External meter with RS485 / Integrated metering IC' -- no MID/EN 50470 certification stated. Newer 'Sigen EVAC Charger G2' (announced June 2026) advertises MID metering as a headline feature -- see new row.</t>
  </si>
  <si>
    <t xml:space="preserve">SigenStor EV DC 12</t>
  </si>
  <si>
    <t xml:space="preserve">https://www.sigenergy.com/uploads/en_download/1745981434747419.pdf</t>
  </si>
  <si>
    <t xml:space="preserve">Technical/Chargers/DC Chargers/Sigenergy</t>
  </si>
  <si>
    <t xml:space="preserve">No MID certification found | Bidirectional (V2H/V2G) DC module, add-on to the SigenStor home/business ESS, not a standalone public fast charger. No MID/meter-brand mention.</t>
  </si>
  <si>
    <t xml:space="preserve">SigenStor EV DC 25</t>
  </si>
  <si>
    <t xml:space="preserve">Datasheet found, download pending (shares datasheet with DC 12 -- both power variants in one PDF)</t>
  </si>
  <si>
    <t xml:space="preserve">No MID certification found</t>
  </si>
  <si>
    <t xml:space="preserve">SMA</t>
  </si>
  <si>
    <t xml:space="preserve">EV Charger 7.4/22 (discontinued)</t>
  </si>
  <si>
    <t xml:space="preserve">https://files.sma.de/downloads/EVC-10-DS-en-10.pdf</t>
  </si>
  <si>
    <t xml:space="preserve">Technical/Chargers/AC Chargers/SMA</t>
  </si>
  <si>
    <t xml:space="preserve">SMA official (files.sma.de)</t>
  </si>
  <si>
    <t xml:space="preserve">MID meter but not billing suitable | SMA's own product page confirms this model is no longer sold, succeeded by the 'eCharger'. Datasheet confirms 'Integrated energy meter MID-compatible' BUT SMA's product page separately states the device is 'not suitable for billing purposes' despite MID compatibility -- a real nuance worth flagging.</t>
  </si>
  <si>
    <t xml:space="preserve">EV Charger 22</t>
  </si>
  <si>
    <t xml:space="preserve">MID meter but not billing suitable | Same physical legacy model/datasheet as 'EV Charger 7.4/22 (discontinued)' row above (power-rating variant, not a separate SKU) -- see that row for the current source.</t>
  </si>
  <si>
    <t xml:space="preserve">Smappee</t>
  </si>
  <si>
    <t xml:space="preserve">EV One</t>
  </si>
  <si>
    <t xml:space="preserve">https://www.smappee.com/eu/files/technical_documentation-technical-specifications_ev-one</t>
  </si>
  <si>
    <t xml:space="preserve">Technical/Chargers/AC Chargers/Smappee</t>
  </si>
  <si>
    <t xml:space="preserve">Smappee official (smappee.com), model code EVOC</t>
  </si>
  <si>
    <t xml:space="preserve">Built-in MID meter | MID Class B metering confirmed standard. Pedestal-mounted single-connector.</t>
  </si>
  <si>
    <t xml:space="preserve">EV Wall</t>
  </si>
  <si>
    <t xml:space="preserve">https://www.smappee.com/eu/files/technical_documentation-technical-specifications_ev-wall</t>
  </si>
  <si>
    <t xml:space="preserve">Smappee official (smappee.com), current model code EVWC/EVW4</t>
  </si>
  <si>
    <t xml:space="preserve">Built-in MID meter | MID Class B metering confirmed standard on all units (no non-MID SKU found). Direct /app/uploads/ links 404 frequently -- use the /eu/files/ redirector which always resolves to the latest revision.</t>
  </si>
  <si>
    <t xml:space="preserve">EV Base</t>
  </si>
  <si>
    <t xml:space="preserve">Built-in MID meter | Superseded by 'EV Dual Base' (dual-connector successor) -- Smappee's own downloads page lists standalone EV Base under Legacy.</t>
  </si>
  <si>
    <t xml:space="preserve">EV Dual Wall</t>
  </si>
  <si>
    <t xml:space="preserve">https://www.smappee.com/eu/files/technical_documentation_technical-specifications_ev-dual-wall</t>
  </si>
  <si>
    <t xml:space="preserve">Smappee official (smappee.com)</t>
  </si>
  <si>
    <t xml:space="preserve">Built-in MID meter | Dual-connector wall-mounted. MID Class B metering per connector confirmed. Frequently-revised datasheet -- prefer the /eu/files/ redirector link.</t>
  </si>
  <si>
    <t xml:space="preserve">EV Ultra (Single/Dual, DC)</t>
  </si>
  <si>
    <t xml:space="preserve">No MID meter | Seed had a typo ('UV Ultra' -&gt; 'EV Ultra'). This is Smappee's DC fast charger line, out of the AC scope of this research pass -- datasheet: https://www.smappee.com/app/uploads/2025/12/Smappee-Technical_specifications-EV_Ultra-Single-EN.pdf (not independently verified this round).</t>
  </si>
  <si>
    <t xml:space="preserve">SolarEdge</t>
  </si>
  <si>
    <t xml:space="preserve">EV Charger - Cable variant (SE-EVK22C00-01, non-MID)</t>
  </si>
  <si>
    <t xml:space="preserve">https://knowledge-center.solaredge.com/sites/kc/files/se-ev-charger-datasheet-eu.pdf</t>
  </si>
  <si>
    <t xml:space="preserve">Technical/Chargers/AC Chargers/SolarEdge</t>
  </si>
  <si>
    <t xml:space="preserve">SolarEdge official (knowledge-center.solaredge.com), Doc DS-000191-EU, 2024-06-17</t>
  </si>
  <si>
    <t xml:space="preserve">MID as option (Class B) | One shared multi-SKU datasheet covers 4 SKUs of this product line (cable/socket x MID/non-MID) -- see sibling rows added below for the other 3 SKUs.</t>
  </si>
  <si>
    <t xml:space="preserve">ONE EV Charger Pro (SE-EVN22SEM-01)</t>
  </si>
  <si>
    <t xml:space="preserve">https://knowledge-center.solaredge.com/sites/kc/files/se-one-ev-charger-datasheet-eu.pdf</t>
  </si>
  <si>
    <t xml:space="preserve">SolarEdge official, Doc DS-000262-EU, 2025-05-27</t>
  </si>
  <si>
    <t xml:space="preserve">Standard built-in MID meter | Built-in meter, MID Class B per EN 50470-3, ISO 15118 Plug&amp;Charge, LTE. SolarEdge FAQ: meter 'logs data with utility-grade accuracy' for tenant billing/reimbursement -- most relevant SolarEdge model to Zeres' billing focus.</t>
  </si>
  <si>
    <t xml:space="preserve">SolarLife</t>
  </si>
  <si>
    <t xml:space="preserve">1 model</t>
  </si>
  <si>
    <t xml:space="preserve">Technical/Chargers/AC Chargers/SolarLife</t>
  </si>
  <si>
    <t xml:space="preserve">Extensive WebSearch (10+ queries) -- no distinct brand found</t>
  </si>
  <si>
    <t xml:space="preserve">Built-in MID meter | COULD NOT VERIFY THIS BRAND EXISTS as a distinct, one-word 'SolarLife' EV charger manufacturer. Every search result either resolves to We Drive Solar's 'Solar Life' (two words, bidirectional charger, already tracked as a separate brand -- see We Drive Solar rows) or unrelated solar-installer companies with no EV charger products. Recommend confirming with whoever supplied the original Zeres seed data whether this is a duplicate/mislabeling of We Drive Solar, or a small/regional company needing an offline source (distributor catalog, invoice) to confirm.</t>
  </si>
  <si>
    <t xml:space="preserve">Spelsberg</t>
  </si>
  <si>
    <t xml:space="preserve">Wallbox Smart Pro</t>
  </si>
  <si>
    <t xml:space="preserve">https://www.spelsberg.de/p/59153701.pdf</t>
  </si>
  <si>
    <t xml:space="preserve">Technical/Chargers/AC Chargers/Spelsberg</t>
  </si>
  <si>
    <t xml:space="preserve">Spelsberg official (spelsberg.de)</t>
  </si>
  <si>
    <t xml:space="preserve">Built-in MID meter | CORRECTION vs seed (generic 'Wallbox'=Yes): Spelsberg actually sells TWO models -- only Smart Pro has the MID meter ('Integrierter MID-Zaehler zur Verbrauchsabrechnung'). See 'Wallbox Pure 2.0' sibling row for the non-MID entry model. 11kW/16A, 3-phase 400V, dynamic phase-individual load management.</t>
  </si>
  <si>
    <t xml:space="preserve">Sunpower</t>
  </si>
  <si>
    <t xml:space="preserve">SunPower Drive (7kW / 22kW)</t>
  </si>
  <si>
    <t xml:space="preserve">https://sunpower.global/int/sites/default/files/2024-05/sp_SunPower_Drive_7kW_Single_Phase_22kW_Three_Phase_a4_en_551944.pdf</t>
  </si>
  <si>
    <t xml:space="preserve">Technical/Chargers/AC Chargers/Sunpower</t>
  </si>
  <si>
    <t xml:space="preserve">Datasheet found, download pending (unverified - WebFetch unavailable this round)</t>
  </si>
  <si>
    <t xml:space="preserve">SunPower/Maxeon Solar Technologies official (sunpower.global)</t>
  </si>
  <si>
    <t xml:space="preserve">No built-in MID meter | DISAMBIGUATION: confirms seed data refers to the real solar-panel company SunPower/Maxeon's 'SunPower Drive' charger (sunpower.global, NL/BE/ES pages, sold via bol.com/sun.store) -- NOT the unrelated Taiwan/HK company 'Sunpower EV' (sunpower-ev.com) which shares the name. One datasheet PDF covers both 7kW single-phase and 22kW three-phase (model code SPR-DRIVE-1-ACP22 for the 22kW variant). MID status and meter brand not confirmed -- PDF could not be opened this round, needs manual verification.</t>
  </si>
  <si>
    <t xml:space="preserve">Tesla</t>
  </si>
  <si>
    <t xml:space="preserve">Wall Connector Gen 1</t>
  </si>
  <si>
    <t xml:space="preserve">Technical/Chargers/AC Chargers/Tesla</t>
  </si>
  <si>
    <t xml:space="preserve">MID was temporary option; not standard</t>
  </si>
  <si>
    <t xml:space="preserve">Wall Connector Gen 2</t>
  </si>
  <si>
    <t xml:space="preserve">Wall Connector Gen 3</t>
  </si>
  <si>
    <t xml:space="preserve">https://www.tesla.com/sites/default/files/charging_docs/Tesla_Wall_Connector_Datasheet_EN.pdf</t>
  </si>
  <si>
    <t xml:space="preserve">Tesla official (tesla.com/sites/default/files) - first-party but robots.txt-restricted to crawlers, should still direct-download fine</t>
  </si>
  <si>
    <t xml:space="preserve">Available in two variants; check invoice | Clarified: this is the STANDARD (non-MID) Gen 3 Wall Connector, part 1069746-00-A, 22kW/32A. Was the only Wall Connector sold in NL 2019-Aug2025 and is NOT ERE-eligible (uncertified internal counter). As of Sept 2025, NL retail (shop.tesla.com/nl_nl) sells only the MID variant by default — see 'Wall Connector Gen 3 MID' row.</t>
  </si>
  <si>
    <t xml:space="preserve">Wall Connector Gen 3 MID</t>
  </si>
  <si>
    <t xml:space="preserve">Tesla (own integrated measuring system)</t>
  </si>
  <si>
    <t xml:space="preserve">AC(M)WC3_5-32EU</t>
  </si>
  <si>
    <t xml:space="preserve">https://energylibrary.tesla.com/docs/Public/Charging/WallConnector/Gen3/Install/3PT2/MID/en-us/GUID-E64AD189-C626-4201-9E0B-8B430EF4F6DB.html</t>
  </si>
  <si>
    <t xml:space="preserve">https://energylibrary.tesla.com/docs/Public/Charging/WallConnector/Gen3/DoC/DoC-MID-manufacture-Wall-Connector-Gen-3-EN.pdf</t>
  </si>
  <si>
    <t xml:space="preserve">Tesla official energylibrary.tesla.com (spec page + Declaration of Conformity)</t>
  </si>
  <si>
    <t xml:space="preserve">Variant with MID meter | IMPORTANT: replaced distributor-mirror source with Tesla's own official energylibrary.tesla.com pages. The Certificate Link is Tesla's own Declaration of Conformity PDF naming the meter type (AC(M)WC3_5-32EU, meter constant 5000 IMP/kWh, accuracy Index 1/Class B) and Notified Body 0122 - NMi Certin B.V. (Netherlands) under Module D. Part number 1529455-5X-X. Tesla's own NL retail copy states 'MID-conform - voldoet aan de eisen voor het thuislaad-vergoedingsprogramma.' This DoC IS effectively the MID certification document the original project brief asked for. | FIX: was mislabeled 'Filed to Drive' but the URL was never actually added to manifest.csv in any prior batch -- corrected to 'download pending' and queued now.</t>
  </si>
  <si>
    <t xml:space="preserve">Tinkerforge</t>
  </si>
  <si>
    <t xml:space="preserve">WARP3 Charger Pro</t>
  </si>
  <si>
    <t xml:space="preserve">Eltako (per Tinkerforge blog, changed from Eastron mid-production -- not confirmed in the datasheet itself)</t>
  </si>
  <si>
    <t xml:space="preserve">https://warp-charger.com/documents/WARP3_Datenblatt_low.pdf</t>
  </si>
  <si>
    <t xml:space="preserve">Technical/Chargers/AC Chargers/Tinkerforge</t>
  </si>
  <si>
    <t xml:space="preserve">Tinkerforge official (warp-charger.com)</t>
  </si>
  <si>
    <t xml:space="preserve">German charger with built-in MID meter | CORRECTION vs seed (generic 'WARP3'=Yes): only the Pro variant has the MID meter -- Basic and Smart do NOT. See sibling rows. 'MID-geeichter Stromzaehler nach EU-Messgeraeterichtlinie 2014/32/EU'. Confirmed in stock, ~EUR999. Meter brand reportedly changed Eastron-&gt;Eltako mid-production per Tinkerforge's own blog -- verify current batch before relying on this for certification docs.</t>
  </si>
  <si>
    <t xml:space="preserve">V2C</t>
  </si>
  <si>
    <t xml:space="preserve">Trydan</t>
  </si>
  <si>
    <t xml:space="preserve">https://v2charge.com/wp-content/uploads/2022/11/DataSheet_Trydan.pdf</t>
  </si>
  <si>
    <t xml:space="preserve">Technical/Chargers/AC Chargers/V2C</t>
  </si>
  <si>
    <t xml:space="preserve">V2C official (v2charge.com)</t>
  </si>
  <si>
    <t xml:space="preserve">No standard MID; available as accessory | Confirmed: no built-in MID meter as standard. Optional accessories: V2C-MID-1 (single-phase) / V2C-MID-3 (three-phase) -- external device wired between power board and charger, not integrated. 'Trydan Bidirectional' (V2L/V2G/V2H) is a firmware/config variant of the same hardware, no separate datasheet.</t>
  </si>
  <si>
    <t xml:space="preserve">van Mossel Energie</t>
  </si>
  <si>
    <t xml:space="preserve">OneCharge 11/22 kW</t>
  </si>
  <si>
    <t xml:space="preserve">Technical/Chargers/AC Chargers/van Mossel Energie</t>
  </si>
  <si>
    <t xml:space="preserve">MID in all models | STATUS: Reseller/CPO -- van Mossel is a large Dutch car-dealership group; 'Van Mossel Energie' is its energy/charging division. Own-branded product names confirmed: 'Vaste Kabel' (fixed cable), 'Socket', and 'OneCharge' (seed's name) -- but NO underlying OEM/manufacturer disclosed anywhere in public materials (checked against Alfen, Ratio Electric, Wallbox, Easee, EVBox, DOSTAR -- none confirmed). Site states 'MID gecertificeerde' meter for at least the Vaste Kabel product; likely applies range-wide but not independently confirmed per model. No official datasheet PDF found -- recommend verifying the actual OEM directly from a physical unit's type-plate/CE marking.</t>
  </si>
  <si>
    <t xml:space="preserve">Vestel (Amazon)</t>
  </si>
  <si>
    <t xml:space="preserve">EVC04-AC11 11 kW</t>
  </si>
  <si>
    <t xml:space="preserve">Technical/Chargers/AC Chargers/Vestel (Amazon)</t>
  </si>
  <si>
    <t xml:space="preserve">No built-in MID meter</t>
  </si>
  <si>
    <t xml:space="preserve">Victron</t>
  </si>
  <si>
    <t xml:space="preserve">EV Charging Station NS</t>
  </si>
  <si>
    <t xml:space="preserve">https://www.victronenergy.com/upload/documents/Datasheet-EV-Charging-Station-NS-EN-.pdf</t>
  </si>
  <si>
    <t xml:space="preserve">Technical/Chargers/AC Chargers/Victron</t>
  </si>
  <si>
    <t xml:space="preserve">Victron official (victronenergy.com)</t>
  </si>
  <si>
    <t xml:space="preserve">No built-in MID meter | Model code EVC200300200, 'technically identical' to base EV Charging Station but newer design, no LCD screen. Confirmed NO MID/EN 50470/calibrated meter anywhere in datasheet, product page, or manual -- only EN/IEC 61851-1 + EU DoC.</t>
  </si>
  <si>
    <t xml:space="preserve">Volkswagen</t>
  </si>
  <si>
    <t xml:space="preserve">ID.Charger Pro 2</t>
  </si>
  <si>
    <t xml:space="preserve">Technical/Chargers/AC Chargers/Volkswagen</t>
  </si>
  <si>
    <t xml:space="preserve">Sold/serviced via Elli (Volkswagen Group Charging GmbH); hardware built by Kontron eSystems</t>
  </si>
  <si>
    <t xml:space="preserve">Built-in MID meter (Pro model only) | IMPORTANT: product is VW/ID.-branded and sold via volkswagen.de, but legally sold/warrantied by Elli (VW's charging subsidiary), and the physical hardware is NOT built by VW -- manufactured by Kontron eSystems GmbH (formerly eSystems MTG, part of KATEK/Kontron AG) on their white-label 'ghostONE' platform. Elli sells the near-identical hardware under its own generic 'Charger 2' brand too. MID Status downgraded to Maybe/SKU-dependent: only the 'Pro 2' variant (models ENG22E212/214/217, Eichrecht ENG22E222/224) has MID; the 'Connect 2' variant does not. A separate portable 'ID.Charger Travel' cable accessory also exists (not a wallbox).</t>
  </si>
  <si>
    <t xml:space="preserve">Volt time</t>
  </si>
  <si>
    <t xml:space="preserve">One</t>
  </si>
  <si>
    <t xml:space="preserve">https://downloads.intercomcdn.com/i/o/mlzyaoq4/1634149730/b185fb117d26810521bb174a723e/Datasheet+Volt+Time+One+-+v2025-07-23.pdf</t>
  </si>
  <si>
    <t xml:space="preserve">https://downloads.intercomcdn.com/i/o/mlzyaoq4/1395502966/7abe3dc6eba45447e176eb5380bb/Declaration+of+Conformity+-+Volt+Time+One-+V1_0_0+%5BEN%5D_docx.pdf</t>
  </si>
  <si>
    <t xml:space="preserve">Technical/Chargers/AC Chargers/Volt time</t>
  </si>
  <si>
    <t xml:space="preserve">Datasheet found, download pending (unverified - proxy/PROVENANCE_REQUIRED blocked direct fetch, URL from official support portal)</t>
  </si>
  <si>
    <t xml:space="preserve">Volt Time official (volttime.com / support.plugchoice.com)</t>
  </si>
  <si>
    <t xml:space="preserve">No built-in MID meter | Sold via the Plugchoice platform. Standard unit ships with a non-MID 'integrated' meter, &lt;2% accuracy. AC, 1/3-phase, 6-32A (1.4-22kW). Current official lineup is only 3 models (One, One Business, Two Pro) -- most of the seed's 7 names were legacy/renamed or not-found, see corrections below.</t>
  </si>
  <si>
    <t xml:space="preserve">Source 1</t>
  </si>
  <si>
    <t xml:space="preserve">Not a real product - seed data error</t>
  </si>
  <si>
    <t xml:space="preserve">Extensive WebSearch -- no results</t>
  </si>
  <si>
    <t xml:space="preserve">Built-in MID meter | No search results, official page, reseller listing, or archive references a 'Source 1' model. Volt Time's base legacy model appears to simply be called 'Source' (per a firmware-files support article title). Recommend removing or renaming pending vendor confirmation.</t>
  </si>
  <si>
    <t xml:space="preserve">Source 2</t>
  </si>
  <si>
    <t xml:space="preserve">https://volttime.com/wp-content/uploads/2023/05/Volt-Time-Source-2-Brochure-EN.pdf</t>
  </si>
  <si>
    <t xml:space="preserve">Volt Time official archive (volttime.com, May 2023 brochure)</t>
  </si>
  <si>
    <t xml:space="preserve">Built-in MID meter | Legacy model, not on current site navigation. 2023-dated brochure lists MID as an OPTIONAL upgrade ('Optioneel: MID 2014/32/EU gecertificeerd (&lt;1%)'), not standard/built-in.</t>
  </si>
  <si>
    <t xml:space="preserve">Source 2s</t>
  </si>
  <si>
    <t xml:space="preserve">https://alp-ev.com/wp-content/uploads/2025/10/Alp-EV_Datasheet_VoltTime_Source_2S_2025-01_.pdf</t>
  </si>
  <si>
    <t xml:space="preserve">Datasheet found, download pending (unverified - third-party distributor datasheet, not manufacturer's own)</t>
  </si>
  <si>
    <t xml:space="preserve">Distributor Alp-EV (Jan 2025 datasheet)</t>
  </si>
  <si>
    <t xml:space="preserve">Standard has no MID meter | Legacy model but still appears as a live SKU at portal.volttime.com/shop -- treat as still-sold legacy stock rather than fully discontinued.</t>
  </si>
  <si>
    <t xml:space="preserve">Source 2s Business</t>
  </si>
  <si>
    <t xml:space="preserve">Dutch reseller laaddirect.nl</t>
  </si>
  <si>
    <t xml:space="preserve">Built-in MID meter | Official product URL now redirects to/serves the 'One' page content -- strongly suggests this SKU has been renamed/merged into One/One Business. Still sold by Dutch resellers (laaddirect.nl, laadpaaldirect.nl) as of research date. Reseller confirms 'Ingebouwde MID-energiemeter.' 22kW AC.</t>
  </si>
  <si>
    <t xml:space="preserve">One Pro</t>
  </si>
  <si>
    <t xml:space="preserve">Built-in MID meter | No search results, official page, or reseller listing references a 'One Pro' charger. Possibly a seed-data conflation with 'Two Pro,' or an unreleased/renamed SKU. Recommend removing pending vendor confirmation.</t>
  </si>
  <si>
    <t xml:space="preserve">Two Pro</t>
  </si>
  <si>
    <t xml:space="preserve">Built-in MID meter | CONSOLIDATED with the new 'Two Pro' row added above (same product) -- avoid double-counting.</t>
  </si>
  <si>
    <t xml:space="preserve">Voldt</t>
  </si>
  <si>
    <t xml:space="preserve">Voldt Mobile OCPP Charger</t>
  </si>
  <si>
    <t xml:space="preserve">Technical/Chargers/AC Chargers/Voldt</t>
  </si>
  <si>
    <t xml:space="preserve">Voldt official (voldt.fr / voldt.co.uk / voldt.eu)</t>
  </si>
  <si>
    <t xml:space="preserve">Built-in MID meter | CONFIRMED real, current product -- portable/mobile (not fixed wallbox), OCPP connectivity is the differentiator vs. a standard charging cable. As a portable unit, likely does NOT carry a MID-certified meter (typical for non-billing mobile chargers) but not explicitly confirmed in an accessible datasheet -- no PDF found, only product page.</t>
  </si>
  <si>
    <t xml:space="preserve">Volvo</t>
  </si>
  <si>
    <t xml:space="preserve">Wallbox - Selected by Volvo Cars</t>
  </si>
  <si>
    <t xml:space="preserve">https://accessories.volvocars.com/Guide/PdfDownload/Wallbox%20selected%20by%20Volvo%20Cars%20-%20Inst%20manual.pdf</t>
  </si>
  <si>
    <t xml:space="preserve">Technical/Chargers/AC Chargers/Volvo</t>
  </si>
  <si>
    <t xml:space="preserve">Volvo accessories official (accessories.volvocars.com); hardware built by Kontron eSystems (same OEM family as VW ID.Charger)</t>
  </si>
  <si>
    <t xml:space="preserve">Built-in MID meter (MID-certified) | CORRECTION vs seed (was confident Yes): MID meter is actually OPTIONAL/SKU-dependent across the 3 variants (GHO22E202A / GHO22E213A / GHO22E223A) -- 'available with an optional MID-compliant energy meter' or MID+Eichrecht -- base variant may ship without any certified meter. Product name itself ('Selected by Volvo Cars') signals a curated third-party partner product, not Volvo-manufactured -- built by the same Kontron eSystems/eSystems MTG 'ghostONE' platform as VW's ID.Charger, just under GHO-prefixed model numbers instead of ENG-prefixed. Meter brand not disclosed. Some Volvo markets (e.g. US) instead point customers to ChargePoint Home Flex.</t>
  </si>
  <si>
    <t xml:space="preserve">Wallbox</t>
  </si>
  <si>
    <t xml:space="preserve">Quasar 2</t>
  </si>
  <si>
    <t xml:space="preserve">https://support.wallbox.com/wp-content/uploads/ht_kb/2025/04/Datasheet_QX2NA_EN_0225.pdf</t>
  </si>
  <si>
    <t xml:space="preserve">Technical/Chargers/DC Chargers/Wallbox</t>
  </si>
  <si>
    <t xml:space="preserve">Datasheet found, download pending (NA version; EU pending)</t>
  </si>
  <si>
    <t xml:space="preserve">NA version only; MID via accessory | Only a North America datasheet currently exists on wallbox.com — no EU-specific PDF found despite extensive search; EU documentation appears to lag the NA rollout. No MID/EN 50470/calibrated meter mentioned in the NA doc (only generic 'Integrated Metering' app feature).</t>
  </si>
  <si>
    <t xml:space="preserve">Pulsar</t>
  </si>
  <si>
    <t xml:space="preserve">Technical/Chargers/AC Chargers/Wallbox</t>
  </si>
  <si>
    <t xml:space="preserve">No built-in MID; external accessory option</t>
  </si>
  <si>
    <t xml:space="preserve">Pulsar Plus</t>
  </si>
  <si>
    <t xml:space="preserve">https://support.wallbox.com/wp-content/uploads/2021/12/EN_Pulsar_Plus_Datasheet_English.pdf</t>
  </si>
  <si>
    <t xml:space="preserve">Wallbox official support site datasheet</t>
  </si>
  <si>
    <t xml:space="preserve">No built-in MID; external accessory option | FIX: was mislabeled 'Filed to Drive' but the URL was never actually added to manifest.csv in any prior batch -- corrected to 'download pending' and queued now.</t>
  </si>
  <si>
    <t xml:space="preserve">Pulsar Max</t>
  </si>
  <si>
    <t xml:space="preserve">https://support.wallbox.com/wp-content/uploads/ht_kb/2025/06/Wallbox_Datasheet_PulsarMax_Tethered_Socket_EN_b.pdf</t>
  </si>
  <si>
    <t xml:space="preserve">Wallbox official support site, dated 2025-06-12 (current)</t>
  </si>
  <si>
    <t xml:space="preserve">No built-in MID; external accessory option | Confirmed: 'external MID' listed only under optional EMS features (requires an external meter) — no built-in MID meter.</t>
  </si>
  <si>
    <t xml:space="preserve">Pulsar Pro</t>
  </si>
  <si>
    <t xml:space="preserve">https://support.wallbox.com/wp-content/uploads/ht_kb/2025/06/Wallbox_Datasheet_PulsarPro_Shutter_Tethered_EN_b.pdf</t>
  </si>
  <si>
    <t xml:space="preserve">Wallbox official support site, dated 2025-06 (current)</t>
  </si>
  <si>
    <t xml:space="preserve">Separate MID meter available | Built-in meter described as 'Internal Metering Class A equivalent (Error &lt;=2%), factory calibrated' — NOT stated as MID-certified. External MID listed as optional/HW-ready add-on only.</t>
  </si>
  <si>
    <t xml:space="preserve">Commander 2</t>
  </si>
  <si>
    <t xml:space="preserve">https://support.wallbox.com/wp-content/uploads/ht_kb/2024/02/EN_MASTER_DS_Commander-2_20240201.pdf</t>
  </si>
  <si>
    <t xml:space="preserve">Wallbox official support site, dated 2024-02-01 (current)</t>
  </si>
  <si>
    <t xml:space="preserve">No built-in MID; external accessory option | Thorough check confirms NO mention of MID anywhere in the document (not even as an option) — distinguishes it from Commander 2S below.</t>
  </si>
  <si>
    <t xml:space="preserve">Commander 2S</t>
  </si>
  <si>
    <t xml:space="preserve">https://support.wallbox.com/wp-content/uploads/ht_kb/2024/02/EN_DS_Commander2S_20240201.pdf</t>
  </si>
  <si>
    <t xml:space="preserve">No built-in MID; external accessory option | CORRECTION vs. Zeres seed data (was 'No'): official datasheet explicitly lists 'MID Meter' under Included Features — this is the semi-public/payment-capable 'S' variant of Commander 2, hence built-in MID unlike the base model. No certification standard number or meter brand given.</t>
  </si>
  <si>
    <t xml:space="preserve">Copper SB</t>
  </si>
  <si>
    <t xml:space="preserve">https://support.wallbox.com/wp-content/uploads/2022/11/EN_CopperSB_Datasheet_English.pdf</t>
  </si>
  <si>
    <t xml:space="preserve">Wallbox official support site (latest/current per support page, last content update 2024-06)</t>
  </si>
  <si>
    <t xml:space="preserve">No built-in MID; external accessory option | No mention of MID/EN 50470/calibrated meter anywhere in the datasheet — metering capability isn't detailed at all in this document. Changed from 'No' to 'Unknown' pending direct manufacturer confirmation.</t>
  </si>
  <si>
    <t xml:space="preserve">eM4 Single/Twin</t>
  </si>
  <si>
    <t xml:space="preserve">https://support.wallbox.com/wp-content/uploads/ht_kb/2025/06/Wallbox_Datasheet_eM4_EN_b.pdf</t>
  </si>
  <si>
    <t xml:space="preserve">Built-in option via external Power Meter | Confirmed: 'MID-compliant energy meters' AND 'Calibration law compliant charging... In acc. with MessEV Modul B' — but variant-dependent (order the calibration-compliant SKU for a certified meter). ABL-heritage brand (Wallbox acquired ABL); sold in NL as 'ABL eM4'.</t>
  </si>
  <si>
    <t xml:space="preserve">Webasto</t>
  </si>
  <si>
    <t xml:space="preserve">Unite</t>
  </si>
  <si>
    <t xml:space="preserve">https://asset.conrad.com/media10/add/160267/c1/-/de/002859859DS00/datasheet-2859859-webasto-sod-ac-unite-ac22-mid-4g-wallbox-type-2-32-a-no-of-ports-1-22-kw-app-wi-fi-rfid.pdf</t>
  </si>
  <si>
    <t xml:space="preserve">Technical/Chargers/AC Chargers/Webasto</t>
  </si>
  <si>
    <t xml:space="preserve">Webasto Unite MID datasheet (Conrad distributor mirror)</t>
  </si>
  <si>
    <t xml:space="preserve">Built-in MID meter | Confirmed distinct MID vs non-MID SKUs exist as separate part numbers (e.g. reseller part 5111685A has 'MID' literally in the SKU code). Official 'Documentation' page lists only 'Flyer' + 'EU Conformity Declarations' categories for Unite (no dedicated 'Datasheet' PDF found this round) — currently-filed Conrad-mirror datasheet remains the best available source. NOTE: in April 2024 Webasto sold majority stake in its EV Charging Systems business to Transom Capital (now trading as 'Ampure' globally) but the EU-facing charging.webasto.com site is still live and Webasto-branded as of 2026 — watch for a possible future rebrand. | FIX: was mislabeled 'Filed to Drive' but the URL was never actually added to manifest.csv in any prior batch -- corrected to 'download pending' and queued now.</t>
  </si>
  <si>
    <t xml:space="preserve">WissEnergy</t>
  </si>
  <si>
    <t xml:space="preserve">WB20</t>
  </si>
  <si>
    <t xml:space="preserve">Technical/Chargers/AC Chargers/WissEnergy</t>
  </si>
  <si>
    <t xml:space="preserve">WissEnergy official (wissenergy.com)</t>
  </si>
  <si>
    <t xml:space="preserve">No built-in MID; optional | CORRECTED (seed placeholder 'All types' had no real model info): real official current lineup is 7 models (WB20, CC30, P60, WS020, WS030, WS018, SQP039), see rows below. AC-only, no DC found. No MID mention ANYWHERE on the official site across any product page or certification badge (CE/FCC/RoHS/ETL/RED/UKCA only) -- no meter brand ever named.</t>
  </si>
  <si>
    <t xml:space="preserve">Zaptec</t>
  </si>
  <si>
    <t xml:space="preserve">Sense</t>
  </si>
  <si>
    <t xml:space="preserve">https://pimassetsprdst.blob.core.windows.net/assets/apc_Original/31/43/27113143.pdf</t>
  </si>
  <si>
    <t xml:space="preserve">Technical/Chargers/AC Chargers/Zaptec</t>
  </si>
  <si>
    <t xml:space="preserve">Datasheet found, download pending (unverified - CDN link, spot-check recommended)</t>
  </si>
  <si>
    <t xml:space="preserve">No built-in MID meter | Confirmed NOT itself an MID-certified charger meter — Sense reads consumption from the site's EXISTING external utility/smart meter (P1 port in NL, HAN in Nordics, EHZ in Germany) to throttle charger output for load balancing. Not a source of billing-grade metering.</t>
  </si>
  <si>
    <t xml:space="preserve">Go</t>
  </si>
  <si>
    <t xml:space="preserve">https://help.zaptec.com/objects/sa-migration-assets/aaffa4be-5f88-4e9a-9a9e-c16298de05c7/6ca5df38770187c2cf11854d4a8e9b9fcf17e0ede3959d14592db330005d02cd.pdf</t>
  </si>
  <si>
    <t xml:space="preserve">Zaptec official (help.zaptec.com, content-verified)</t>
  </si>
  <si>
    <t xml:space="preserve">Original has no standard MID; Go 2 has MID | Confirmed: 'Integrated energy meter, ~3% accuracy on readings' — not billing-grade. Still listed as current alongside Go 2 (simpler/base home unit).</t>
  </si>
  <si>
    <t xml:space="preserve">Go 2</t>
  </si>
  <si>
    <t xml:space="preserve">https://help.zaptec.com/objects/sa-migration-assets/aaffa4be-5f88-4e9a-9a9e-c16298de05c7/c2b59031a52f335e3232d2fa7b3104eabfa8512079396d32c1349154341f09f9.pdf</t>
  </si>
  <si>
    <t xml:space="preserve">Zaptec official help center product sheet</t>
  </si>
  <si>
    <t xml:space="preserve">Standard Class B MID meter | FIX: was mislabeled 'Filed to Drive' but the URL was never actually added to manifest.csv in any prior batch -- corrected to 'download pending' and queued now.</t>
  </si>
  <si>
    <t xml:space="preserve">Pro</t>
  </si>
  <si>
    <t xml:space="preserve">https://pimassetsprdst.blob.core.windows.net/assets/apc_Original/94/42/27109442.pdf</t>
  </si>
  <si>
    <t xml:space="preserve">Built-in MID meter | CORRECTION vs. Zeres seed data (was 'Yes'): the BASE 'Pro' SKU has NO built-in MID meter — MID is a separate SKU 'Zaptec Pro MID' (see new row below). 22kW/32A three-phase, 7.4kW single-phase.</t>
  </si>
  <si>
    <t xml:space="preserve">Zappi (Myenergi)</t>
  </si>
  <si>
    <t xml:space="preserve">zappi 2.1 Multiphase</t>
  </si>
  <si>
    <t xml:space="preserve">https://www.myenergi.com/wp-content/uploads/2024/10/4.-zappi-Multiphase-Datasheet.pdf</t>
  </si>
  <si>
    <t xml:space="preserve">Technical/Chargers/AC Chargers/Zappi (Myenergi)</t>
  </si>
  <si>
    <t xml:space="preserve">myenergi official (myenergi.com), Rev B, Oct 2024</t>
  </si>
  <si>
    <t xml:space="preserve">No MID meter | Confirmed no MID -- datasheet only states 'Load and external CTs designed in accordance with Class B (1%) of EN 50470', an accuracy-DESIGN reference not a type-approval/certification claim. myenergi community forum + Dutch resellers confirm it does NOT qualify for Dutch ERE-registratie.</t>
  </si>
  <si>
    <t xml:space="preserve">Zonneplan</t>
  </si>
  <si>
    <t xml:space="preserve">Charge/Charge 2</t>
  </si>
  <si>
    <t xml:space="preserve">Technical/Chargers/AC Chargers/Zonneplan</t>
  </si>
  <si>
    <t xml:space="preserve">Confirmed no MID meter | Confirmed by two independent sources (Wallbox Discounter, Joulo.nl): no built-in MID meter -- 'built for regular home charging, at a time when a MID-meter wasn't yet required.' NOT eligible for ERE registration as sold. Zonneplan does not disclose the underlying OEM/manufacturer of this own-branded unit -- no official manufacturer-grade datasheet exists. Reviewers recommend customers needing ERE eligibility use a separately purchased MID charger instead (e.g. Alfen Eve Single Pro-Line, Tesla Wall Connector 3 MID).</t>
  </si>
  <si>
    <t xml:space="preserve">ABB Terra</t>
  </si>
  <si>
    <t xml:space="preserve">ABB model with MID meter (until 2024)</t>
  </si>
  <si>
    <t xml:space="preserve">Terra DC Wallbox</t>
  </si>
  <si>
    <t xml:space="preserve">https://library.e.abb.com/public/c8a256faa74943ae9a518fe1a63fa713/9AKK107680A6978%20Terra%20DC%20Wallbox%20specifications%20Revision01.pdf</t>
  </si>
  <si>
    <t xml:space="preserve">Technical/Chargers/DC Chargers/ABB</t>
  </si>
  <si>
    <t xml:space="preserve">ABB official library (library.e.abb.com), CE spec rev 2020-05</t>
  </si>
  <si>
    <t xml:space="preserve">22.5kW nominal DC wallbox, CCS/CHAdeMO. No MID/metering mention in the CE spec sheet. Dated 2020 — may be stale; ABB's JS-driven doc browser could hide a newer CE version, flag for periodic re-check.</t>
  </si>
  <si>
    <t xml:space="preserve">Terra 24 / 54 / 94 / 124 / 184 (DC fast charger family)</t>
  </si>
  <si>
    <t xml:space="preserve">https://library.e.abb.com/public/db43a9e7789e49ea97214e5851a0a1cb/9AKK107680A7947-Rev%20C%20-%20ABB%20Brochure%20Terra%20DC%20Fast%20charger_oct%202021.pdf</t>
  </si>
  <si>
    <t xml:space="preserve">ABB official library (library.e.abb.com), CE family brochure Rev C, 2021</t>
  </si>
  <si>
    <t xml:space="preserve">One shared CE brochure legitimately covers this whole power-variant family (24/54/94/124/184 kW). MID metering for AC+DC outlets is explicitly listed as OPTIONAL, not standard — and separately, an Eichrecht/PTB-compliant metering option is also offered. Individual per-model CE datasheets could not be located (ABB's document search only surfaces UL/NA versions publicly); this brochure is the best current official substitute. Terra 53 is a discontinued predecessor — do not confuse with Terra 54.</t>
  </si>
  <si>
    <t xml:space="preserve">Terra 94 / 124 / 184 (CE installation manual, supplementary)</t>
  </si>
  <si>
    <t xml:space="preserve">https://library.e.abb.com/public/f40deb0dc8094733be72900d1439ab32/Terra+94_124_184-Installation+Manual-CE-EN-V002.pdf</t>
  </si>
  <si>
    <t xml:space="preserve">ABB official library (library.e.abb.com), CE installation manual</t>
  </si>
  <si>
    <t xml:space="preserve">Supplementary technical document (installation manual, not a marketing datasheet) — filed because no dedicated CE-only datasheet PDF could be found publicly for this sub-family; use alongside the family brochure above.</t>
  </si>
  <si>
    <t xml:space="preserve">Terra HP Gen 3</t>
  </si>
  <si>
    <t xml:space="preserve">https://library.e.abb.com/public/f48f38b62833410ca02e2a41d1857b4c/9AKK107991A9632-RevB_Terra_HP_Gen%203_Leaflet.pdf</t>
  </si>
  <si>
    <t xml:space="preserve">ABB official library (library.e.abb.com), CE &amp; UL leaflet Rev C, 2021</t>
  </si>
  <si>
    <t xml:space="preserve">175-350kW ultra-fast/high-power charger. No MID/calibrated-meter language anywhere in the leaflet (unlike the 54/94/124/184 family) — worth a direct question to ABB on whether Gen 3 HP supports MID at all. Terra HP Gen 2 ('Charge Post') is officially end-of-life/Classic phase; Gen 3 is current.</t>
  </si>
  <si>
    <t xml:space="preserve">Terra 360</t>
  </si>
  <si>
    <t xml:space="preserve">ABB product page https://new.abb.com/ev-charging/terra-360</t>
  </si>
  <si>
    <t xml:space="preserve">Ultra-fast (360kW, 2-vehicle split) charger. A CE-specific datasheet PDF exists on ABB's library (title 'Terra 360 CE') but the signed URL returned 403 on fetch — needs a fresh resolve, ideally via the product page's document browser.</t>
  </si>
  <si>
    <t xml:space="preserve">https://download.easee.com/m/6c692ec649987675/original/EN_Easee_One_Productsheet.pdf</t>
  </si>
  <si>
    <t xml:space="preserve">Entry-level single-phase (1.4-7.4kW) home charger, no MID meter, mainly UK-positioned.</t>
  </si>
  <si>
    <t xml:space="preserve">Charge (base, UK)</t>
  </si>
  <si>
    <t xml:space="preserve">https://download.easee.com/m/59e508976a5cf676/original/EN_Easee_Charge_Productsheet.pdf</t>
  </si>
  <si>
    <t xml:space="preserve">Easee official (download.easee.com), Product no. 10243, June 2024</t>
  </si>
  <si>
    <t xml:space="preserve">'Built-in energy meter (±2%)' but no MID statement — ±2% is below MID Class B (±1%) requirement, confirming non-billing-grade. UK-commercial positioned.</t>
  </si>
  <si>
    <t xml:space="preserve">Charge Max Eichrecht</t>
  </si>
  <si>
    <t xml:space="preserve">Easee product page https://easee.com/en/charge-max-eichrecht/</t>
  </si>
  <si>
    <t xml:space="preserve">Germany/Austria regional SKU variant of Charge Max, MID Class B + German Eichrecht. Page references a downloadable Product Sheet/Brochure but the direct PDF URL could not be resolved this round.</t>
  </si>
  <si>
    <t xml:space="preserve">Charge Pro Eichrecht</t>
  </si>
  <si>
    <t xml:space="preserve">Easee product page https://easee.com/en/charge-pro-eichrecht/</t>
  </si>
  <si>
    <t xml:space="preserve">Germany/Austria regional SKU variant of Charge Pro, same MID Class B meter + Eichrecht. Direct PDF URL not resolved this round (only an installer guide PDF was found).</t>
  </si>
  <si>
    <t xml:space="preserve">Liviqo</t>
  </si>
  <si>
    <t xml:space="preserve">https://evaftersales.com/ev-chargers/liviqo (403 to automated fetch)</t>
  </si>
  <si>
    <t xml:space="preserve">Workplace/business charger distinct from BusinessLine. Press coverage confirms Eichrecht certification (German calibration law) implying billing-grade metering, but page access blocked this round — needs manual browser confirmation.</t>
  </si>
  <si>
    <t xml:space="preserve">Troniq Compact</t>
  </si>
  <si>
    <t xml:space="preserve">Technical/Chargers/DC Chargers/EVBox</t>
  </si>
  <si>
    <t xml:space="preserve">https://evbox.com/en/ev-chargers/evbox-troniq-compact-fast-charger/</t>
  </si>
  <si>
    <t xml:space="preserve">Current, actively-marketed DC fast charger (40-200kW, modular SiC). Datasheet is gated behind EVBox's login-only Partner Portal (partner.evbox.com) — no public PDF. No MID/EN 50470 mention on the public marketing page.</t>
  </si>
  <si>
    <t xml:space="preserve">Troniq High Power</t>
  </si>
  <si>
    <t xml:space="preserve">https://evbox.com/en/ev-chargers/troniq-high-power/</t>
  </si>
  <si>
    <t xml:space="preserve">Current, 160-400kW. Datasheet gated behind Partner Portal. Page mentions 'Eichrecht compliant' (German calibration law, closely related to MID); the predecessor 'Troniq Modular' generation officially completed German calibration-law Module B certification.</t>
  </si>
  <si>
    <t xml:space="preserve">Troniq Ultra High Power</t>
  </si>
  <si>
    <t xml:space="preserve">https://evbox.com/en/ev-chargers/troniq-ultra-high-power/</t>
  </si>
  <si>
    <t xml:space="preserve">Current, up to 1MW, truck/bus-focused (CCS2 + MCS). Datasheet gated behind Partner Portal. No MID/Eichrecht mention found on the public page.</t>
  </si>
  <si>
    <t xml:space="preserve">KeContact P40</t>
  </si>
  <si>
    <t xml:space="preserve">https://www.keba.com/en/emobility/products/p40/keba-kecontact-p40</t>
  </si>
  <si>
    <t xml:space="preserve">Current entry model (launched Feb 2024), 7.4/11kW. Page: 'Optional MID- or MessEV-compliant energy meter.' No standalone datasheet PDF found on a crawlable path (site's /download/* is robots-disallowed for automated fetch, though may still work via direct browser/PS download — worth trying https://www.keba.com/download/x/... links found on the live page).</t>
  </si>
  <si>
    <t xml:space="preserve">KeContact P40 Pro</t>
  </si>
  <si>
    <t xml:space="preserve">https://www.keba.com/en/emobility/products/p40/keba-kecontact-p40-pro</t>
  </si>
  <si>
    <t xml:space="preserve">Current flagship P40 tier, up to 22kW, LTE, ISO 15118, ADAC test winner. Page: 'Integrated, calibrated energy meter (MID / MessEV).' No standalone datasheet PDF resolved this round.</t>
  </si>
  <si>
    <t xml:space="preserve">KeContact Company Car Wallbox</t>
  </si>
  <si>
    <t xml:space="preserve">https://www.keba.com/download/x/d17211551d/kecontact-p40-company-car-wallbox-flyer-en.pdf</t>
  </si>
  <si>
    <t xml:space="preserve">KEBA official (keba.com/download, found on official page; robots-blocked to automated fetch, not to PS download)</t>
  </si>
  <si>
    <t xml:space="preserve">Bundle/edition (built on P30 c/x-series or P40) specifically positioned for employee/company-car home-charging billing reimbursement. 'ME-certified wallbox (DE/AT) or MID-certified wallbox (CH)' depending on region.</t>
  </si>
  <si>
    <t xml:space="preserve">KeContact P30 b-series</t>
  </si>
  <si>
    <t xml:space="preserve">https://www.keba.com/en/emobility/products/b-series/b-series</t>
  </si>
  <si>
    <t xml:space="preserve">Not listed on KEBA's current main product-overview page — likely legacy/regional, current-vs-legacy status unconfirmed this round (tool rate-limited).</t>
  </si>
  <si>
    <t xml:space="preserve">KeContact P30 e-series</t>
  </si>
  <si>
    <t xml:space="preserve">https://www.keba.com/en/emobility/products/e-series/e-serie</t>
  </si>
  <si>
    <t xml:space="preserve">Not listed on KEBA's current main product-overview page — appears to be legacy naming largely superseded by a-series. Basic cost-optimized 7.4kW tier per older shared datasheet, implying no meter.</t>
  </si>
  <si>
    <t xml:space="preserve">AMTRON 4You 110</t>
  </si>
  <si>
    <t xml:space="preserve">https://www.mennekes.org/fileadmin/products_media/medien_sge2/produktdatenblaetter/20241218/1311201205BK_en.pdf</t>
  </si>
  <si>
    <t xml:space="preserve">Mennekes official (mennekes.org / media.mennekes.org)</t>
  </si>
  <si>
    <t xml:space="preserve">Entry-level 'plug in and start' tier, 11/22kW C2. No MID meter.</t>
  </si>
  <si>
    <t xml:space="preserve">AMTRON 4You 410 11 C2</t>
  </si>
  <si>
    <t xml:space="preserve">https://www.mennekes.org/fileadmin/products_media/medien_sge2/produktdatenblaetter/20260127/1314001205BK_en.pdf</t>
  </si>
  <si>
    <t xml:space="preserve">App-control/PV-charging tier. No built-in MID meter (external Modbus TCP accessory only).</t>
  </si>
  <si>
    <t xml:space="preserve">AMTRON 4You 460 11 C2</t>
  </si>
  <si>
    <t xml:space="preserve">https://www.mennekes.org/fileadmin/products_media/medien_sge2/produktdatenblaetter/20260417/1314011205BK_en.pdf</t>
  </si>
  <si>
    <t xml:space="preserve">MID version of the '400' tier, marketed for company-car billing via 4Drivers app. Meter brand not disclosed.</t>
  </si>
  <si>
    <t xml:space="preserve">AMTRON 4You 510 11 C2</t>
  </si>
  <si>
    <t xml:space="preserve">https://www.mennekes.org/fileadmin/products_media/medien_sge2/produktdatenblaetter/20241218/1315001205BK_en.pdf</t>
  </si>
  <si>
    <t xml:space="preserve">Non-MID sibling of the already-filed 4You 560 (which is the '500' tier's MID variant).</t>
  </si>
  <si>
    <t xml:space="preserve">AMTRON 4Business 700 family (610/620/630/710/730)</t>
  </si>
  <si>
    <t xml:space="preserve">https://www.mennekes.org/fileadmin/products_media/medien_sge2/produktdatenblaetter/20260417/1346012205BK_en.pdf</t>
  </si>
  <si>
    <t xml:space="preserve">Commercial/multi-tenant tier, 5 named sub-variants x 11/22kW x C2/T2 SKUs. MID meter confirmed core feature ('precision measurement and invoicing... readable from outside') on both 610 and 710 SKUs checked.</t>
  </si>
  <si>
    <t xml:space="preserve">AMTRON Professional 22</t>
  </si>
  <si>
    <t xml:space="preserve">https://www.mennekes.org/fileadmin/products_media/medien_sge2/produktdatenblaetter/20240328/1364202_en.pdf</t>
  </si>
  <si>
    <t xml:space="preserve">Base Professional tier (no PnC/modem). 'Electricity meter (MID compliant): yes (readable from outside).'</t>
  </si>
  <si>
    <t xml:space="preserve">AMTRON Professional PnC 22</t>
  </si>
  <si>
    <t xml:space="preserve">https://www.mennekes.org/fileadmin/products_media/medien_sge2/produktdatenblaetter/20240328/1365402_en.pdf</t>
  </si>
  <si>
    <t xml:space="preserve">Adds Plug&amp;Charge (ISO 15118) to base Professional. MID confirmed.</t>
  </si>
  <si>
    <t xml:space="preserve">AMTRON Professional+ 22</t>
  </si>
  <si>
    <t xml:space="preserve">https://www.mennekes.org/fileadmin/products_media/medien_sge2/produktdatenblaetter/20240328/1366202_en.pdf</t>
  </si>
  <si>
    <t xml:space="preserve">Adds integrated cellular modem vs. base Professional. MID confirmed.</t>
  </si>
  <si>
    <t xml:space="preserve">AMTRON Professional+ PnC 22</t>
  </si>
  <si>
    <t xml:space="preserve">https://media.mennekes.org/1367402_en_53674_originaldatei.pdf</t>
  </si>
  <si>
    <t xml:space="preserve">Top Professional tier: modem + Plug&amp;Charge. Hosted on Mennekes's own media CDN. MID confirmed.</t>
  </si>
  <si>
    <t xml:space="preserve">AMTRON Professional E 7,4/22</t>
  </si>
  <si>
    <t xml:space="preserve">https://www.mennekes.org/fileadmin/products_media/medien_sge2/produktdatenblaetter/20231107/1374402_en.pdf</t>
  </si>
  <si>
    <t xml:space="preserve">Entry-level ('E'=economy) Professional-family tier, 7.4-22kW adjustable. MID confirmed.</t>
  </si>
  <si>
    <t xml:space="preserve">AMTRON Professional+ E 7,4/22</t>
  </si>
  <si>
    <t xml:space="preserve">https://www.mennekes.org/fileadmin/products_media/medien_sge2/produktdatenblaetter/20231107/1376201_en.pdf</t>
  </si>
  <si>
    <t xml:space="preserve">'E' tier with added modem. MID confirmed.</t>
  </si>
  <si>
    <t xml:space="preserve">AMTRON Professional TC 22 (Twincharge)</t>
  </si>
  <si>
    <t xml:space="preserve">https://www.mennekes.org/fileadmin/products_media/medien_sge2/produktdatenblaetter/20240328/151602402_en.pdf</t>
  </si>
  <si>
    <t xml:space="preserve">Dual charging-point wallbox, 22kW per point. MID confirmed. Also comes as Professional+ TC and Professional TC PnC variants (not separately filed).</t>
  </si>
  <si>
    <t xml:space="preserve">AMEDIO Professional 22 T2S</t>
  </si>
  <si>
    <t xml:space="preserve">https://www.mennekes.org/fileadmin/products_media/medien_sge2/produktdatenblaetter/20241008/140602612_en.pdf</t>
  </si>
  <si>
    <t xml:space="preserve">Floor-standing dual-socket charging column (not a wallbox), 22kW/point. Page confirms 'Integrated power meter: yes' but doesn't explicitly say MID (unlike the wallbox lines) — marked Maybe pending clarification.</t>
  </si>
  <si>
    <t xml:space="preserve">AMEDIO Professional+ PnC 22</t>
  </si>
  <si>
    <t xml:space="preserve">https://media.mennekes.org/140822412_de_53646_originaldatei.pdf</t>
  </si>
  <si>
    <t xml:space="preserve">Top AMEDIO tier: modem + Plug&amp;Charge. Only a GERMAN-language datasheet found; English product-details page 404'd this round.</t>
  </si>
  <si>
    <t xml:space="preserve">AMTRON Compact 2.0 / 2.0s</t>
  </si>
  <si>
    <t xml:space="preserve">https://www.mennekes.org/fileadmin/MEN-Deutschland/emobility/01_documents/02_products/br_amtron_compact_2.0_2.0s_en_0922.pdf</t>
  </si>
  <si>
    <t xml:space="preserve">Basic entry-level home wallbox, no RFID/billing/meter mentioned at all. 2.0s adds solar/RFID/HEMS but still no MID. Filed as family brochure (individual per-model datasheet pages 404'd this round).</t>
  </si>
  <si>
    <t xml:space="preserve">AMTRON Premium E (legacy)</t>
  </si>
  <si>
    <t xml:space="preserve">https://media.mennekes.org/1355451_en_53749_originaldatei.pdf</t>
  </si>
  <si>
    <t xml:space="preserve">Not present in current 34-SKU AMTRON portfolio filter — appears superseded by 4You 400/500 and Professional E lines. PDF still live on Mennekes CDN; treat as legacy.</t>
  </si>
  <si>
    <t xml:space="preserve">AMTRON Basic E (legacy)</t>
  </si>
  <si>
    <t xml:space="preserve">https://media.mennekes.org/1353203_en_53727_originaldatei.pdf</t>
  </si>
  <si>
    <t xml:space="preserve">Not present in current 34-SKU AMTRON portfolio filter — likely superseded. PDF still live on Mennekes CDN; treat as legacy.</t>
  </si>
  <si>
    <t xml:space="preserve">EVlink Pro AC Metal</t>
  </si>
  <si>
    <t xml:space="preserve">https://www.se.com/ch/fr/download/document/EVB3ACMDS01/</t>
  </si>
  <si>
    <t xml:space="preserve">Ruggedized metal-enclosure variant of EVlink Pro AC, same 'M'-suffix MID SKU convention (e.g. EVB3S22NC0M). Document reference page found (EVB3ACMDS01) but the raw downloadable PDF URL wasn't resolved/confirmed this round.</t>
  </si>
  <si>
    <t xml:space="preserve">EVlink Smart Wallbox / EVlink Wallbox G4 Smart</t>
  </si>
  <si>
    <t xml:space="preserve">https://www.se.com/de/de/product-range-download/63506-evlink-wallbox-g4-smart/</t>
  </si>
  <si>
    <t xml:space="preserve">Naming varies by market (Smart Wallbox in BE/NL/UK, Wallbox G4 Smart in DE/AT). No explicit MID mention found; emphasis is on RFID/cost-allocation metering, not certified billing. Status (current vs legacy) genuinely ambiguous across regional pages — needs direct confirmation.</t>
  </si>
  <si>
    <t xml:space="preserve">EVlink Home</t>
  </si>
  <si>
    <t xml:space="preserve">https://www.se.com/nl/nl/product-range/61099946-evlink-home/</t>
  </si>
  <si>
    <t xml:space="preserve">Marked 'Niet meer leverbaar' (no longer available) on the Dutch se.com site specifically — still sold in some other markets (US/AU/IL). No built-in MID meter; supports an EXTERNAL MID-certified meter via TIC/pulse input. Flag as legacy-in-NL for this KB.</t>
  </si>
  <si>
    <t xml:space="preserve">EVlink Parking</t>
  </si>
  <si>
    <t xml:space="preserve">https://www.se.com/au/en/product-range/60850-evlink-parking/</t>
  </si>
  <si>
    <t xml:space="preserve">Range status 'END_OF_COMMERCIALIZATION_ANNOUNCED' (EOL). No current datasheet, only an old 2018 installation/user manual. Exclude from 'currently sold' list; keep only for installed-base reference.</t>
  </si>
  <si>
    <t xml:space="preserve">EVlink Wallbox (pre-Smart generation)</t>
  </si>
  <si>
    <t xml:space="preserve">Predecessor to EVlink Smart Wallbox/G4 Smart. Marked 'Niet meer leverbaar' on se.com/nl/nl. No current official datasheet found.</t>
  </si>
  <si>
    <t xml:space="preserve">Universal Wall Connector</t>
  </si>
  <si>
    <t xml:space="preserve">https://shop.tesla.com/product/universal-wall-connector</t>
  </si>
  <si>
    <t xml:space="preserve">North American Charging Standard (NACS) product with built-in J1772 adapter, US/Canada-only (404s on shop.tesla.com/nl_nl). Not currently relevant to Dutch/EU deployments unless a Type-2 EU version launches.</t>
  </si>
  <si>
    <t xml:space="preserve">Supercharger V3</t>
  </si>
  <si>
    <t xml:space="preserve">Technical/Chargers/DC Chargers/Tesla</t>
  </si>
  <si>
    <t xml:space="preserve">https://www.tesla.com/blog/introducing-v3-supercharging</t>
  </si>
  <si>
    <t xml:space="preserve">Public pay-per-use DC infrastructure (250kW), not a submetered business charger - MID/ERE framework doesn't apply the same way. Tesla ceased V3 production, transitioned to V4. No official public datasheet PDF exists.</t>
  </si>
  <si>
    <t xml:space="preserve">Supercharger V4</t>
  </si>
  <si>
    <t xml:space="preserve">https://www.tesla.com/supercharger-for-business/get</t>
  </si>
  <si>
    <t xml:space="preserve">Current production Supercharger hardware, up to 500kW/post, NACS/CCS1/CCS2/GB-T. 'Supercharger for Business' program documentation is gated behind a sales/quote process — no public datasheet PDF.</t>
  </si>
  <si>
    <t xml:space="preserve">Quasar (original, legacy)</t>
  </si>
  <si>
    <t xml:space="preserve">https://support.wallbox.com/wp-content/uploads/2022/11/EN_Quasar_Datasheet_English.pdf</t>
  </si>
  <si>
    <t xml:space="preserve">Wallbox official support site</t>
  </si>
  <si>
    <t xml:space="preserve">Predecessor to Quasar 2 (CHAdeMO, max 5kW charge/4.6kW discharge). wallbox.com's current EU marketing promotes Quasar 2, not this generation, but it's still documented/orderable via some EU resellers. No MID mention.</t>
  </si>
  <si>
    <t xml:space="preserve">Pure (Pure II) 22kW</t>
  </si>
  <si>
    <t xml:space="preserve">https://charging.webasto.com/fileadmin/webasto__media/charging.webasto.com/EN-UK/brochures/210415_Datasheet_Webasto_PURE_II_22kW_ENG__002_.pdf</t>
  </si>
  <si>
    <t xml:space="preserve">Webasto official (charging.webasto.com)</t>
  </si>
  <si>
    <t xml:space="preserve">Entry-level home wallbox, 1.8-22kW. Product page doesn't say 'MID' directly but Dutch charger-comparison DB (sourced from mfr spec sheets) confirms 'MID gecertificeerde meter: Ja'. Datasheet dated April 2021 (latest found; hardware generation unchanged since).</t>
  </si>
  <si>
    <t xml:space="preserve">Pure (Pure II) 11kW</t>
  </si>
  <si>
    <t xml:space="preserve">https://charging.webasto.com/fileadmin/webasto__media/charging.webasto.com/INT/Datasheets/210308_Datasheet_Webasto_PURE_II_11kW_ENG_01.pdf</t>
  </si>
  <si>
    <t xml:space="preserve">11kW variant of Pure II, same MID confirmation as the 22kW version.</t>
  </si>
  <si>
    <t xml:space="preserve">Next</t>
  </si>
  <si>
    <t xml:space="preserve">https://charging.webasto.com/fileadmin/webasto__media/charging.webasto.com/EN-UK/brochures/Next_download_pdfs/210930_Flyer_Webasto_Next_ENG_VIEW.pdf</t>
  </si>
  <si>
    <t xml:space="preserve">Business/smart wallbox, 3.7-22kW. Product page mentions 'integrated meter module' + interfaces for external meters; Dutch comparison DB confirms MID for both 11kW/22kW variants. Filed doc is officially labeled 'Flyer' (a proper 'Datasheet' PDF exists per the Documentation page category list but its exact URL wasn't resolved this round).</t>
  </si>
  <si>
    <t xml:space="preserve">Live</t>
  </si>
  <si>
    <t xml:space="preserve">https://charging.webasto.com/fileadmin/webasto__media/charging.webasto.com/INT/Datasheets/20190507_Datasheet_Webasto_LIVE_ENG_VIEW.pdf</t>
  </si>
  <si>
    <t xml:space="preserve">Public/semi-public and workplace charger. STRONGEST explicit MID confirmation of all Webasto models — official product page states 'MID-compliant, accuracy class B as per EN 50470-3 / class 1 as per IEC 62053-21.' Datasheet dated 2019 — flagged for a re-check that a newer revision doesn't exist.</t>
  </si>
  <si>
    <t xml:space="preserve">Pro MID</t>
  </si>
  <si>
    <t xml:space="preserve">https://help.zaptec.com/objects/sa-migration-assets/aaffa4be-5f88-4e9a-9a9e-c16298de05c7/ccd70e6d9cf1e1e82f836e9b8f8c302a93de65fc579d616b245e61df3a6d3e0b.pdf</t>
  </si>
  <si>
    <t xml:space="preserve">Zaptec official (help.zaptec.com, content-verified, Dutch-language productsheet)</t>
  </si>
  <si>
    <t xml:space="preserve">Same physical charger as base Pro, MID meter is the differentiator. Datasheet content-verified: 'MID klasse B gecertificeerd (EN 50470)'. Meter brand not named ('self-developed, built-in measuring instrument' per product page). 22kW/32A three-phase max.</t>
  </si>
  <si>
    <t xml:space="preserve">Pro M&amp;E (Germany)</t>
  </si>
  <si>
    <t xml:space="preserve">https://help.zaptec.com/hc/en-001/articles/32012214888081-Zaptec-Pro-M-E-Documents-and-manuals</t>
  </si>
  <si>
    <t xml:space="preserve">German calibration-law (Mess- und Eichrecht) equivalent of Pro MID, same underlying hardware. Product-sheet PDF URL not resolved this round. Lower priority for NL/EU-directive compliance since Pro MID already covers the core MID requirement.</t>
  </si>
  <si>
    <t xml:space="preserve">eCharger (EVC22-3AC-20)</t>
  </si>
  <si>
    <t xml:space="preserve">https://files.sma.de/downloads/eCharger-DS-en-20.pdf</t>
  </si>
  <si>
    <t xml:space="preserve">Current flagship AC wallbox, 1.38-22kW, replacing the discontinued EV Charger. Datasheet: 'Energy measurement compliant with MID and calibration regulations in preparation with a later hardware release' -- i.e. no MID meter TODAY. External MID meter can be added in the supply line as a workaround.</t>
  </si>
  <si>
    <t xml:space="preserve">EV Charger Business (standard)</t>
  </si>
  <si>
    <t xml:space="preserve">https://files.sma.de/downloads/EVC-Business-DS-de_34.pdf</t>
  </si>
  <si>
    <t xml:space="preserve">Datasheet found, download pending (German only)</t>
  </si>
  <si>
    <t xml:space="preserve">SMA official (files.sma.de) - German-language datasheet, English version not resolved this round</t>
  </si>
  <si>
    <t xml:space="preserve">Current commercial/fleet dual-charge-point unit, up to 2x22kW. Datasheet: 'Integrierter Energiezaehler MID konform' (integrated MID-compliant meter).</t>
  </si>
  <si>
    <t xml:space="preserve">EV Charger Business ECC (Eichrecht)</t>
  </si>
  <si>
    <t xml:space="preserve">Datasheet found, download pending (German only, same PDF as standard Business)</t>
  </si>
  <si>
    <t xml:space="preserve">Same physical datasheet document covers both standard and 'ECC' (Eichrechtskonform) variants. ECC is SMA's actual billing-grade product for public/third-party charging -- more relevant to Zeres than the standard Business or the eCharger.</t>
  </si>
  <si>
    <t xml:space="preserve">Sigen EVAC Charger G2 (newly announced)</t>
  </si>
  <si>
    <t xml:space="preserve">https://www.sigenergy.com/en/evac-charger-g2</t>
  </si>
  <si>
    <t xml:space="preserve">Unveiled Intersolar Europe June 2026, marketing page advertises 'Semi-public: MID Metering for Corporate EV Charging' but no datasheet PDF published yet. Re-check sigenergy.com download center periodically -- likely to become the primary EU billing-compliant model once published.</t>
  </si>
  <si>
    <t xml:space="preserve">DC30 Nuvia</t>
  </si>
  <si>
    <t xml:space="preserve">https://ecotap.nl/wp-content/uploads/2026/03/DC30-Nuvia-specs-EN.pdf</t>
  </si>
  <si>
    <t xml:space="preserve">Technical/Chargers/DC Chargers/Ecotap</t>
  </si>
  <si>
    <t xml:space="preserve">DC fast charger 1-30kW, Mode 4, CCS2. MID-certified DC meter only for specific SKUs, not standard across all variants.</t>
  </si>
  <si>
    <t xml:space="preserve">DC60</t>
  </si>
  <si>
    <t xml:space="preserve">https://ecotap.nl/wp-content/uploads/2025/05/DC60-specs-EN.pdf</t>
  </si>
  <si>
    <t xml:space="preserve">DC fast charger, 1x60kW or 2x30kW dynamic allocation. Product page states 'MID meter optional' -- treat as optional add-on, verify per SKU.</t>
  </si>
  <si>
    <t xml:space="preserve">DC120</t>
  </si>
  <si>
    <t xml:space="preserve">https://ecotap.nl/wp-content/uploads/2025/05/DC120-specs-EN.pdf</t>
  </si>
  <si>
    <t xml:space="preserve">DC fast charger up to 120kW, CCS2. Datasheet explicitly: 'AC meter: Not included / DC meter: Not included / Eichrecht conform: No'.</t>
  </si>
  <si>
    <t xml:space="preserve">IQ Bidirectional EV Charger</t>
  </si>
  <si>
    <t xml:space="preserve">https://enphase.com/download/iq-bidirectional-ev-charger-data-sheet</t>
  </si>
  <si>
    <t xml:space="preserve">NOT confirmed for EU/Dutch market -- datasheet explicitly labeled 'NORTH AMERICA PRELIMINARY', targeting NA volume production Q4 2026. Uses US ANSI C12.20 metering, no MID mentioned. Exclude from EU coverage until an EU-specific datasheet/SKU is published.</t>
  </si>
  <si>
    <t xml:space="preserve">EV Charger - Cable variant with MID meter (SE-EVK22CRM-01)</t>
  </si>
  <si>
    <t xml:space="preserve">SolarEdge official (knowledge-center.solaredge.com)</t>
  </si>
  <si>
    <t xml:space="preserve">Cable variant, MID Accuracy Class B (EN 50470-1/-3). Same shared datasheet.</t>
  </si>
  <si>
    <t xml:space="preserve">EV Charger - Socket variant (SE-EVK22SRG-01)</t>
  </si>
  <si>
    <t xml:space="preserve">Socket (not tethered). Datasheet references German Mess-und-Eichrecht terminology rather than plain MID Class B for this SKU -- verify whether EU-MID-equivalent.</t>
  </si>
  <si>
    <t xml:space="preserve">EV Charger - Socket variant with MID meter (SE-EVK22SRM-01)</t>
  </si>
  <si>
    <t xml:space="preserve">Socket variant with built-in MID meter, Class B EN 50470-1/-3, WiFi/Ethernet, RFID.</t>
  </si>
  <si>
    <t xml:space="preserve">ONE EV Charger (Standard)</t>
  </si>
  <si>
    <t xml:space="preserve">Datasheet found, download pending (shares datasheet with Pro)</t>
  </si>
  <si>
    <t xml:space="preserve">SolarEdge official, Doc DS-000262-EU</t>
  </si>
  <si>
    <t xml:space="preserve">Order code SE-EVN22SE0-01. No built-in meter (that's the Pro's differentiator). Up to 22kW, auto-switches 1/3-phase.</t>
  </si>
  <si>
    <t xml:space="preserve">Gemini (11/22kW, stationary)</t>
  </si>
  <si>
    <t xml:space="preserve">https://go-e.com/fileadmin/Support/Anleitungen/Englisch/go-e-gemini-datasheet.pdf</t>
  </si>
  <si>
    <t xml:space="preserve">Base Gemini. Non-calibrated meter for app-logging only -- explicitly marked No for MID in go-e's own comparison table.</t>
  </si>
  <si>
    <t xml:space="preserve">Gemini flex (11/22kW, portable)</t>
  </si>
  <si>
    <t xml:space="preserve">https://go-e.com/fileadmin/Support/Anleitungen/Englisch/go-e-gemini-flex-datasheet.pdf</t>
  </si>
  <si>
    <t xml:space="preserve">Portable/mobile Gemini variant. Same non-calibrated meter, no MID.</t>
  </si>
  <si>
    <t xml:space="preserve">Gemini flex 2.0 (11/22kW, portable, 4G)</t>
  </si>
  <si>
    <t xml:space="preserve">https://go-e.com/fileadmin/Support/Anleitungen/Englisch/go-e-charger-gemini-flex-2-0-data-sheet.pdf</t>
  </si>
  <si>
    <t xml:space="preserve">Portable counterpart of Gemini 2.0, integrated 4G. No MID.</t>
  </si>
  <si>
    <t xml:space="preserve">PRO CABLE ME</t>
  </si>
  <si>
    <t xml:space="preserve">ME = Mess-und-Eichrecht compliant -- fully MID + calibration-law-certified, legal-for-trade billing variant. Positioned for company-car reimbursement/shared charging billing. THE go-e model to recommend for Dutch/EU customers needing certified billing metering.</t>
  </si>
  <si>
    <t xml:space="preserve">HOMEfix / HOME+ (legacy)</t>
  </si>
  <si>
    <t xml:space="preserve">go-e.com (URL now redirects to Gemini 2.0)</t>
  </si>
  <si>
    <t xml:space="preserve">Both discontinued/superseded by the Gemini family. No current official datasheet exists (only archived reseller mirrors, excluded per requirement to use manufacturer sources only).</t>
  </si>
  <si>
    <t xml:space="preserve">Halo</t>
  </si>
  <si>
    <t xml:space="preserve">https://www.chargeamps.com/app/uploads/2024/04/ChargeAmps_Halo_EN_240306.pdf</t>
  </si>
  <si>
    <t xml:space="preserve">Same ambiguous 'equivalent to MID directive' phrasing as Aura, not an explicit certified claim.</t>
  </si>
  <si>
    <t xml:space="preserve">Dawn Professional</t>
  </si>
  <si>
    <t xml:space="preserve">https://www.chargeamps.com/app/uploads/2025/09/ChargeAmps_product-sheet_dawn_Pro_ENG_250902.pdf</t>
  </si>
  <si>
    <t xml:space="preserve">Commercial/workplace variant of Dawn. 'Built-in certified MID meter that accurately measures energy consumed per charge.'</t>
  </si>
  <si>
    <t xml:space="preserve">Dawn Professional DE (Eichrecht)</t>
  </si>
  <si>
    <t xml:space="preserve">https://www.chargeamps.com/app/uploads/2025/05/ChargeAmpsDawnPro.ProductDataSheet.pdf</t>
  </si>
  <si>
    <t xml:space="preserve">German-market public-charging variant, Eichrecht-certified (stricter than base MID). Not directly Dutch-market but relevant as the strictest-metering SKU in the family.</t>
  </si>
  <si>
    <t xml:space="preserve">Entity Home</t>
  </si>
  <si>
    <t xml:space="preserve">https://www.garo.se/storage/9E63B0919C73123E1654E57792E11E087D9714D1BA6DF3402BC6A2272F31F64A/9fa2370c9460485a8d65f39a60c34fd5/pdf/media/9ebb3a519b2043c6938291d6c5dd186f/Entity%20Compact%20(EN)%20Manual.pdf</t>
  </si>
  <si>
    <t xml:space="preserve">Garo official (garo.se)</t>
  </si>
  <si>
    <t xml:space="preserve">3-phase 20A/13.9kW, fixed 5m cable. Only 'integrated electronic meter' mentioned, no MID SKU found for this model.</t>
  </si>
  <si>
    <t xml:space="preserve">Entity Compact</t>
  </si>
  <si>
    <t xml:space="preserve">3PH 20A/13.9kW. 'Built-in energy meter', no brand, no MID SKU found.</t>
  </si>
  <si>
    <t xml:space="preserve">Entity Pro (base, non-MID)</t>
  </si>
  <si>
    <t xml:space="preserve">https://www.garo.se/storage/031DB84EEB1C5FF5530DCC5CEFE9050238F7DF8D666FD379D0D5219CD5A4A681/dfcb712a91374c64bd1b46e788c3e9c8/pdf/media/9dfd41374b514d7e8fd422cbe52b17dc/GARO%20Entity%20Pro%20(EN)%20Manual%20380317%20(1.3.4).pdf</t>
  </si>
  <si>
    <t xml:space="preserve">22kW/32A/3PH, article 354208. Built-in non-MID meter.</t>
  </si>
  <si>
    <t xml:space="preserve">Entity Pro MID</t>
  </si>
  <si>
    <t xml:space="preserve">Article 354210, type EPCUO00332SVGI, 'visible meter (MID certified)'. Separate SKU from base Entity Pro. No meter brand disclosed.</t>
  </si>
  <si>
    <t xml:space="preserve">Wallbox Twin (double-head, non-OCPP)</t>
  </si>
  <si>
    <t xml:space="preserve">https://www.garo.se/storage/054D66563C1459D931DA14AD8462F901FD8539176ABE6E94F63D1626F7C0848E/aa70c3cdfaef40df839879002308a2ad/pdf/media/dc7fa16bdcdd47f1aafa44dc9976168d/Twin%20(EN)%20Full%20Manual%20380231%201.2.pdf</t>
  </si>
  <si>
    <t xml:space="preserve">22kW/3PH, article 353678, current (not discontinued per that specific SKU). Has a 'GARO Modbus energy meter' for load-balancing, not confirmed MID-certified.</t>
  </si>
  <si>
    <t xml:space="preserve">Wallbox Twin+ (OCPP-capable)</t>
  </si>
  <si>
    <t xml:space="preserve">https://www.garo.se/en/products/wallbox/wallbox-double-cpo-ocpp-twin</t>
  </si>
  <si>
    <t xml:space="preserve">4 current SKUs listed on family page but MID status not verified this round (tool rate-limited before leaf SKU technical table could be pulled).</t>
  </si>
  <si>
    <t xml:space="preserve">EV Dual Base</t>
  </si>
  <si>
    <t xml:space="preserve">https://www.smappee.com/eu/files/technical_documentation_technical-specifications_ev-dual-base</t>
  </si>
  <si>
    <t xml:space="preserve">Pedestal-mounted dual-connector, direct successor to legacy standalone EV Base. MID Class B metering per connector.</t>
  </si>
  <si>
    <t xml:space="preserve">EV Charging Station</t>
  </si>
  <si>
    <t xml:space="preserve">https://www.victronenergy.com/upload/documents/Datasheet-EV-Charging-Station-EN-.pdf</t>
  </si>
  <si>
    <t xml:space="preserve">Model code EVC300400300. Max 22kW 3-phase/7.3kW 1-phase. Has a 'configurable price/kWh calculator' but this is a cost-estimation tool, NOT a certified billing meter. Confirmed no MID anywhere in official docs. Victron sells no DC charger.</t>
  </si>
  <si>
    <t xml:space="preserve">zappi GLO</t>
  </si>
  <si>
    <t xml:space="preserve">https://support.myenergi.com/hc/article_attachments/44673214333457</t>
  </si>
  <si>
    <t xml:space="preserve">myenergi official (support.myenergi.com Help Centre), Rev E (DS-00015), Nov 2025</t>
  </si>
  <si>
    <t xml:space="preserve">Newest-generation screenless/buttonless model (launched mid-2025), single-phase 7kW only, sold alongside (not replacing) 2.1 Multiphase. Same non-MID 'Class B design accuracy' language, no certification.</t>
  </si>
  <si>
    <t xml:space="preserve">Vestel</t>
  </si>
  <si>
    <t xml:space="preserve">AC Liveo 7/11/22</t>
  </si>
  <si>
    <t xml:space="preserve">https://vestelmobility.com/Content/files/uploads/1800/AC%20Liveo%20Leaflet.pdf</t>
  </si>
  <si>
    <t xml:space="preserve">Technical/Chargers/AC Chargers/Vestel</t>
  </si>
  <si>
    <t xml:space="preserve">Vestel Mobility official (vestelmobility.com)</t>
  </si>
  <si>
    <t xml:space="preserve">Commercial line. Spec table: 'MID Meter (optional), Eichrecht Compliant.'</t>
  </si>
  <si>
    <t xml:space="preserve">AC Vega Dual 14/22/44</t>
  </si>
  <si>
    <t xml:space="preserve">https://vestelmobility.com/Content/files/uploads/1771/ac-vega-dual.pdf</t>
  </si>
  <si>
    <t xml:space="preserve">Built-in MID Meter (Optional), Accuracy Class B (1%), Eichrecht approved. Up to 2x22kW.</t>
  </si>
  <si>
    <t xml:space="preserve">AC Gemini Dual 7/22/44</t>
  </si>
  <si>
    <t xml:space="preserve">https://vestelmobility.com/Content/files/uploads/30/gemini-leaflet.pdf</t>
  </si>
  <si>
    <t xml:space="preserve">MID Meter (optional), Eichrecht Compliant (Optional).</t>
  </si>
  <si>
    <t xml:space="preserve">AC Quatro/Lou/Vario/Arch 7/11/22 (shared family)</t>
  </si>
  <si>
    <t xml:space="preserve">https://vestelmobility.com/Content/files/uploads/22/AC%20Quatro_Lou_Vario_Arch.pdf</t>
  </si>
  <si>
    <t xml:space="preserve">Residential-flex line, one shared 4-model leaflet. Spec table shows 'Meter: -' (no built-in meter), no MID/Eichrecht mentioned.</t>
  </si>
  <si>
    <t xml:space="preserve">AC Rhea/Zenith/Libra 7/11/22 (shared family)</t>
  </si>
  <si>
    <t xml:space="preserve">https://vestelmobility.com/Content/files/uploads/19/ac-rhea-zenith-libra.pdf</t>
  </si>
  <si>
    <t xml:space="preserve">One shared 3-model leaflet. 'MID &amp; Eichrechtskonform (optional).' Up to 22kW.</t>
  </si>
  <si>
    <t xml:space="preserve">DC Stella 720 (Power Unit + Dispenser + S Dispenser)</t>
  </si>
  <si>
    <t xml:space="preserve">https://vestelmobility.com/Content/files/uploads/333/DC%20Stella.pdf</t>
  </si>
  <si>
    <t xml:space="preserve">Technical/Chargers/DC Chargers/Vestel</t>
  </si>
  <si>
    <t xml:space="preserve">Up to 720kW/8 outlets. Dispenser variants: 'MID meter (Option), Eichrecht compatible.'</t>
  </si>
  <si>
    <t xml:space="preserve">DC Sirius 160/240/320/400 (EVC03)</t>
  </si>
  <si>
    <t xml:space="preserve">https://vestelmobility.com/Content/files/uploads/399/DC%20Sirius.pdf</t>
  </si>
  <si>
    <t xml:space="preserve">Scalable/retrofittable 160-400kW. Spec table: 'MID Certified DC meter' (stronger claim than 'optional' wording elsewhere).</t>
  </si>
  <si>
    <t xml:space="preserve">DC Spica 80 / Spica L 160 (EVC16)</t>
  </si>
  <si>
    <t xml:space="preserve">https://vestelmobility.com/Content/files/uploads/1772/EVC16-Datasheet-2026.pdf</t>
  </si>
  <si>
    <t xml:space="preserve">Up to 160kW, 2 vehicles parallel. 'MID meter (Option), Eichrecht compatible.'</t>
  </si>
  <si>
    <t xml:space="preserve">DC Vesper 40 / Vesper-P 40 (EVC12)</t>
  </si>
  <si>
    <t xml:space="preserve">https://vestelmobility.com/Content/files/uploads/1797/EVC12-Datasheet-2026.pdf</t>
  </si>
  <si>
    <t xml:space="preserve">Base 'M' unit is meterless (Meter: NA); the 'P' (public) variant adds 'MID meter (Option), Eichrecht compatible' on the same hardware.</t>
  </si>
  <si>
    <t xml:space="preserve">DC Stella MW 1.2 (megawatt charger)</t>
  </si>
  <si>
    <t xml:space="preserve">Vestel Mobility (unveiled EES Europe 2025)</t>
  </si>
  <si>
    <t xml:space="preserve">Up to 1.2MW/charging point. Spec table lists 'MID meter (Optional)' but no dedicated datasheet PDF located yet -- very recently announced.</t>
  </si>
  <si>
    <t xml:space="preserve">Dual</t>
  </si>
  <si>
    <t xml:space="preserve">https://peblar.com/chargers/dual</t>
  </si>
  <si>
    <t xml:space="preserve">Just launched June 23, 2026 (Power2Drive Europe). Dual-socket, 1x22kW or 2x11kW shared connection. MID Class B certified meter, Eichrecht variant available. No standalone datasheet PDF published yet -- specs only on the product page. Re-check peblar.com/downloads periodically.</t>
  </si>
  <si>
    <t xml:space="preserve">White Label AC Charger</t>
  </si>
  <si>
    <t xml:space="preserve">OEM/rebrand line, same hardware platform as Home/Business. Both 16A/11kW and 32A/22kW tiers are MID certified + Eichrecht compliant.</t>
  </si>
  <si>
    <t xml:space="preserve">Home Pro 11kW (Standard)</t>
  </si>
  <si>
    <t xml:space="preserve">https://ohme-ev.com/nl/wp-content/uploads/sites/24/2026/03/March-26-NL_HomePro_11kW_STD_Product_Data_Sheet_.pdf</t>
  </si>
  <si>
    <t xml:space="preserve">Ohme official (ohme-ev.com/nl)</t>
  </si>
  <si>
    <t xml:space="preserve">Externally identical to MID version, no certified meter inside.</t>
  </si>
  <si>
    <t xml:space="preserve">Home Pro 7kW (Standard)</t>
  </si>
  <si>
    <t xml:space="preserve">https://ohme-ev.com/nl/wp-content/uploads/sites/24/2026/03/March-26-NL_HomePro_7kW_STD_Product_Data_Sheet_.pdf</t>
  </si>
  <si>
    <t xml:space="preserve">Single-phase, 230V/32A. No MID variant at 7kW -- MID only on the 11kW 3-phase unit.</t>
  </si>
  <si>
    <t xml:space="preserve">ePod 22kW</t>
  </si>
  <si>
    <t xml:space="preserve">https://ohme-ev.com/nl/wp-content/uploads/sites/24/2026/03/March-26-NL_ePod_22kW_Datasheet.pdf</t>
  </si>
  <si>
    <t xml:space="preserve">22kW 3-phase / 7.4kW single-phase/Delta, untethered. Explicitly non-MID/non-ERE-eligible per erecentrum.nl.</t>
  </si>
  <si>
    <t xml:space="preserve">Go (portable cable)</t>
  </si>
  <si>
    <t xml:space="preserve">https://ohme-ev.com/nl/wp-content/uploads/sites/24/2026/03/March-26-Ohme-Go-3_NL.pdf</t>
  </si>
  <si>
    <t xml:space="preserve">Portable smart cable, Schuko-to-Type-2, up to 3.7kW. No certified meter.</t>
  </si>
  <si>
    <t xml:space="preserve">witty share (base, no MID)</t>
  </si>
  <si>
    <t xml:space="preserve">https://assets.hager.com/step-content/P/PDS_385994890501FR/Document/std.lang.all/XEV1R22T2_0501_fr-FR.pdf</t>
  </si>
  <si>
    <t xml:space="preserve">Base SKU XEV1R22T2 has NO integrated MID meter -- MID is an optional add-on kit. See 'witty share MID' sibling row.</t>
  </si>
  <si>
    <t xml:space="preserve">witty share MID (XEV1R22T2M3)</t>
  </si>
  <si>
    <t xml:space="preserve">https://assets.hager.com/step-content/P/PDS_407950450501FR/Document/std.lang.all/XEV1R22T2M3_0501_fr-FR.pdf</t>
  </si>
  <si>
    <t xml:space="preserve">Ships WITH integrated MID meter as standard, 22kW/3-phase. A 7kW MID variant (XEV1R07T2M1) and a Germany 'Eichrecht' variant (XEV1R22T2ER) also exist.</t>
  </si>
  <si>
    <t xml:space="preserve">xChargeIn Home</t>
  </si>
  <si>
    <t xml:space="preserve">https://www.eaton.com/content/dam/eaton/products/emobility/ev-charging/xchargein-home-en-us/eaton-xchargeIn-home-technical-datasheet-en-us.pdf</t>
  </si>
  <si>
    <t xml:space="preserve">Residential AC, 3.7-22kW configurable. No MID language.</t>
  </si>
  <si>
    <t xml:space="preserve">xChargeIn Mobility</t>
  </si>
  <si>
    <t xml:space="preserve">https://www.eaton.com/content/dam/eaton/products/emobility/ev-charging/xchargein-mobility-en-us/eaton-xchargein-mobility-technical-datasheet-en-us.pdf</t>
  </si>
  <si>
    <t xml:space="preserve">Datasheet spec table explicitly lists 'MID: Yes'. Fleet/commercial with access control and load balancing.</t>
  </si>
  <si>
    <t xml:space="preserve">Green Motion Home</t>
  </si>
  <si>
    <t xml:space="preserve">https://www.eaton.com/content/dam/eaton/products/emobility/ev-charging/green-motion-home-en-us/eaton-green-motion-home-technical-datasheet-en-us.pdf</t>
  </si>
  <si>
    <t xml:space="preserve">Residential-focused, 'no commercial metering' positioning.</t>
  </si>
  <si>
    <t xml:space="preserve">Green Motion Duo</t>
  </si>
  <si>
    <t xml:space="preserve">https://www.eaton.com/content/dam/eaton/products/emobility/ev-charging/green-motion-duo/eaton-green-motion-duo-technical-datasheet-en-us.pdf</t>
  </si>
  <si>
    <t xml:space="preserve">Dual output 2x22kW. 'Visible MID meter', built-in payment terminal for commercial/public billing.</t>
  </si>
  <si>
    <t xml:space="preserve">xChargeIn DC 22</t>
  </si>
  <si>
    <t xml:space="preserve">https://www.eaton.com/content/dam/eaton/products/emobility/ev-charging/xchargein-dc-22-en-us/eaton-xchargein-dc-22-technical-datasheet-en-us.pdf</t>
  </si>
  <si>
    <t xml:space="preserve">Technical/Chargers/DC Chargers/Eaton</t>
  </si>
  <si>
    <t xml:space="preserve">22kW DC fast charger, CHAdeMO/ISO 15118. No MID language.</t>
  </si>
  <si>
    <t xml:space="preserve">Green Motion DC 22</t>
  </si>
  <si>
    <t xml:space="preserve">https://www.eaton.com/content/dam/eaton/products/emobility/ev-charging/german/green-motion-dc-22/eaton-green-motion-dc-22-technical-datasheet-de-de.pdf</t>
  </si>
  <si>
    <t xml:space="preserve">Only German-language official datasheet locatable. No MID/Eichrecht language.</t>
  </si>
  <si>
    <t xml:space="preserve">Green Motion DC 44/66</t>
  </si>
  <si>
    <t xml:space="preserve">https://www.eaton.com/content/dam/eaton/products/emobility/ev-charging/green-motion-dc-44-66-en-us/eaton-green-motion-dc-44-66-technical-datasheet-en-us.pdf</t>
  </si>
  <si>
    <t xml:space="preserve">Spec table: 'integrated DC MID energy meter', 'MID Yes', 'LNE Yes' (French metrology decree).</t>
  </si>
  <si>
    <t xml:space="preserve">Green Motion DC 50-150</t>
  </si>
  <si>
    <t xml:space="preserve">https://www.eaton.com/content/dam/eaton/products/emobility/green-motion-dc-ev-chargers/eaton-green-motion-dc-fast-charger-datasheet-td154002en.pdf</t>
  </si>
  <si>
    <t xml:space="preserve">Only '+/-2.5% accurate metering' stated, no MID certification. High-power fleet/depot/highway. EU branding may differ (Range XT80/160 on greenmotion.ch) -- verify exact EU SKU.</t>
  </si>
  <si>
    <t xml:space="preserve">Green Motion DC 240/360</t>
  </si>
  <si>
    <t xml:space="preserve">https://www.eaton.com/content/dam/eaton/products/emobility/ev-charging/green-motion-dc-240-360/eaton-green-motion-dc-240-360-technical-datasheet-en-us.pdf</t>
  </si>
  <si>
    <t xml:space="preserve">Newest/highest-power platform. 'MID Yes', 'Eichrecht Yes (Optional)', 'LNE Yes' -- strongest multi-jurisdiction metrology coverage found in this research.</t>
  </si>
  <si>
    <t xml:space="preserve">Green Motion DC 30 / DC 60</t>
  </si>
  <si>
    <t xml:space="preserve">eaton.com (referenced in Eaton's own catalog listings)</t>
  </si>
  <si>
    <t xml:space="preserve">Multiple official PDF paths (datasheet, manual, quick-start) returned 404 despite appearing in Eaton's own site search -- possibly discontinued/renamed, could not confirm current sale status.</t>
  </si>
  <si>
    <t xml:space="preserve">Shell Recharge</t>
  </si>
  <si>
    <t xml:space="preserve">Advanced 3.0 / Business Pro 3.0</t>
  </si>
  <si>
    <t xml:space="preserve">https://a.storyblok.com/f/85281/x/c94d83d4fc/shell-recharge-datasheet-for-advanced-charge-point.pdf</t>
  </si>
  <si>
    <t xml:space="preserve">Technical/Chargers/AC Chargers/Shell Recharge</t>
  </si>
  <si>
    <t xml:space="preserve">Shell Recharge / The NewMotion B.V. official (Shell subsidiary)</t>
  </si>
  <si>
    <t xml:space="preserve">STATUS: Both -- primarily a charging network/CPO, but this home/business line is genuinely own-designed hardware (legal manufacturer of record: The NewMotion B.V., a Shell subsidiary), not a resold third-party brand. Up to 22kW 3-phase/7.4kW 1-phase. Advanced 3.0/Business Pro 3.0 explicitly list an MID-certified meter, BUT MID status is SKU/generation-dependent across the range -- older 'Home Fast' units have NO MID meter. Always verify the specific SKU/serial. Meter brand not disclosed.</t>
  </si>
  <si>
    <t xml:space="preserve">We Drive Solar</t>
  </si>
  <si>
    <t xml:space="preserve">Solar Life</t>
  </si>
  <si>
    <t xml:space="preserve">http://www.wedrivesolar.nl/uploads/1/3/4/9/13495396/solar_life_-_product_specifications.pdf</t>
  </si>
  <si>
    <t xml:space="preserve">Technical/Chargers/AC Chargers/We Drive Solar</t>
  </si>
  <si>
    <t xml:space="preserve">We Drive Solar official (wedrivesolar.nl)</t>
  </si>
  <si>
    <t xml:space="preserve">STATUS: Both -- primarily a Utrecht-based smart-charging/V2G network &amp; CPO (linked to Renault Group's Dutch V2G pilot), but Solar Life is proprietary bidirectional (V2G) hardware co-developed/produced with Belgian/Dutch firm GBO Innovation Makers -- a genuine manufacturer relationship, not pure resale. MID meter for V2G explicitly 'verplicht voor V2G' (mandatory) and built in. 11-22kW (varies by source), Type 2. Meter brand not disclosed.</t>
  </si>
  <si>
    <t xml:space="preserve">Alfen Eve Single S-line (resold)</t>
  </si>
  <si>
    <t xml:space="preserve">https://eu-assets.contentstack.com/v3/assets/blt08d332658a89f766/blta4f9411e56ab5073/6a38defe58a7df05454b278a/Eve_Single_Datasheet_EN_.pdf</t>
  </si>
  <si>
    <t xml:space="preserve">Alfen official datasheet (resold by Eneco as its home-charger offering)</t>
  </si>
  <si>
    <t xml:space="preserve">Genuine Alfen hardware resold/installed under the Eneco umbrella -- see Alfen's own tracker rows for full Alfen coverage. Meter brand: Alfen.</t>
  </si>
  <si>
    <t xml:space="preserve">Wallbox 22kW 32A Tree (Part 100677)</t>
  </si>
  <si>
    <t xml:space="preserve">https://pim.loxone.com/datasheet/100677-wallbox-22kw-32a-tree</t>
  </si>
  <si>
    <t xml:space="preserve">THE MID-equipped Loxone model: factory-installed Loxone Energy Meter 3-Phase Tree, 'MID-compliant meter, factory-installed', Class B EN 50470/Class 1. 22kW 3-phase, configurable 4.1-22kW.</t>
  </si>
  <si>
    <t xml:space="preserve">Wallbox 7.4kW 32A Tree (Part 100535)</t>
  </si>
  <si>
    <t xml:space="preserve">https://www.loxone.com/wp-content/uploads/datasheets/Datasheet_Wallbox7,4kW32ATree_100535.pdf</t>
  </si>
  <si>
    <t xml:space="preserve">No built-in meter; external meter required for MID-grade metering.</t>
  </si>
  <si>
    <t xml:space="preserve">Wallbox 7.4kW 32A Air (Part 100536)</t>
  </si>
  <si>
    <t xml:space="preserve">https://www.loxone.com/wp-content/uploads/datasheets/Datasheet_Wallbox7,4kW32AAir_100536.pdf</t>
  </si>
  <si>
    <t xml:space="preserve">Wireless bus variant of the 7.4kW Tree. No built-in meter.</t>
  </si>
  <si>
    <t xml:space="preserve">Wallbox 11kW 16A Air (Part 100527)</t>
  </si>
  <si>
    <t xml:space="preserve">https://www.loxone.com/wp-content/uploads/datasheets/Datasheet_Wallbox11kW16AAir_100527.pdf</t>
  </si>
  <si>
    <t xml:space="preserve">Wireless bus variant of the 11kW Tree. No built-in meter (inferred by product-family consistency; not independently content-verified this round).</t>
  </si>
  <si>
    <t xml:space="preserve">Trydan Pro</t>
  </si>
  <si>
    <t xml:space="preserve">https://v2charge.com/wp-content/uploads/2024/03/data-sheet-trydanpro.pdf</t>
  </si>
  <si>
    <t xml:space="preserve">Same as Trydan: MID meter (V2C-MID-1/3) is optional, not built in. Adds 4G/Ethernet + RFID/NFC for business use.</t>
  </si>
  <si>
    <t xml:space="preserve">Pole Pro</t>
  </si>
  <si>
    <t xml:space="preserve">https://v2charge.com/wp-content/uploads/2024/02/polepro-datasheet.pdf</t>
  </si>
  <si>
    <t xml:space="preserve">Datasheet explicitly: 'MID meter differentiated by socket' -- built-in MID meter as STANDARD, per-socket, unlike Trydan/Trydan Pro. Dual-socket public/commercial, 7.3kW (1P) or 22kW (3P) per socket.</t>
  </si>
  <si>
    <t xml:space="preserve">EV Portable</t>
  </si>
  <si>
    <t xml:space="preserve">https://v2charge.com/wp-content/uploads/2023/04/ficha-tecnica-ev-portable.pdf</t>
  </si>
  <si>
    <t xml:space="preserve">Portable/plug-in charger, 3.6-22kW configurable. No MID/calibrated meter -- not intended for fixed billing installs. Only Spanish-language datasheet found.</t>
  </si>
  <si>
    <t xml:space="preserve">Denka</t>
  </si>
  <si>
    <t xml:space="preserve">https://v2charge.com/wp-content/uploads/2025/06/catalogue-denka-english.pdf</t>
  </si>
  <si>
    <t xml:space="preserve">Technical/Chargers/DC Chargers/V2C</t>
  </si>
  <si>
    <t xml:space="preserve">V2C official (v2charge.com), June 2025</t>
  </si>
  <si>
    <t xml:space="preserve">V2C's first in-house DC fast charger, 20kW/40kW (80kW announced Q4 2026), uses a Huawei power module. No MID/EN 50470 mentioned either way -- DC public charging billing typically happens via CPO backend rather than onboard MID meter. 'Denka Pro' and 'Denka Bidirectional' are variants of the same base hardware.</t>
  </si>
  <si>
    <t xml:space="preserve">Alva</t>
  </si>
  <si>
    <t xml:space="preserve">https://v2charge.com/v2c-launches-alva/</t>
  </si>
  <si>
    <t xml:space="preserve">Dual-socket AC charger, up to 22kW/socket, fleet/business-focused. Announced Power2Drive 2024 but not in the main online store list -- likely limited/project-only SKU with no public datasheet.</t>
  </si>
  <si>
    <t xml:space="preserve">INCH Duo</t>
  </si>
  <si>
    <t xml:space="preserve">https://etrel.com/wp-content/uploads/2026/04/Brosura_INCH-Duo_2026_web.pdf</t>
  </si>
  <si>
    <t xml:space="preserve">Public/semi-public dual-outlet, max 2x22kW. PDF explicitly states 'Energy meter MID' as STANDARD (not optional, unlike INCH Pro). ISO 15118 hardware-ready. Etrel currently has no DC product.</t>
  </si>
  <si>
    <t xml:space="preserve">Fox ESS</t>
  </si>
  <si>
    <t xml:space="preserve">A Series (A7300/A011K/A022K, 7.3/11/22kW)</t>
  </si>
  <si>
    <t xml:space="preserve">https://www.fox-ess.com/wp-content/uploads/2025/11/EN-A-V2.0-EV-Charger-AEB-Datasheet-V1.2-20250815.pdf</t>
  </si>
  <si>
    <t xml:space="preserve">Technical/Chargers/AC Chargers/Fox ESS</t>
  </si>
  <si>
    <t xml:space="preserve">Fox ESS official (fox-ess.com)</t>
  </si>
  <si>
    <t xml:space="preserve">No MID/EN 50470/calibrated-meter language -- only EN/IEC 61851-1/-21-2 cited. One shared datasheet covers all 3 power tiers.</t>
  </si>
  <si>
    <t xml:space="preserve">L Series (L07P/L11P, 7.3/11kW)</t>
  </si>
  <si>
    <t xml:space="preserve">https://www.fox-ess.com/wp-content/uploads/2025/11/EN-L-EV-Charger-Datasheet-V1.3-20251125.pdf</t>
  </si>
  <si>
    <t xml:space="preserve">No MID mention. Shared datasheet across power tiers.</t>
  </si>
  <si>
    <t xml:space="preserve">C Series (7.3/11/22kW)</t>
  </si>
  <si>
    <t xml:space="preserve">https://www.fox-ess.com/wp-content/uploads/2025/11/EN-C-EV-Charger-Datasheet-V1.3-20251125.pdf</t>
  </si>
  <si>
    <t xml:space="preserve">Datasheet explicitly lists 'Integrated MID Meter' for ALL C Series SKUs -- Fox ESS's only EV charger line with confirmed MID.</t>
  </si>
  <si>
    <t xml:space="preserve">Charger 2 - Connect 11</t>
  </si>
  <si>
    <t xml:space="preserve">Elli official (elli.eco)</t>
  </si>
  <si>
    <t xml:space="preserve">0.023-11kW (1-3 phase), type code ENG11E102. Onboard non-MID meter.</t>
  </si>
  <si>
    <t xml:space="preserve">Charger 2 - Pro 22 (Eichrecht)</t>
  </si>
  <si>
    <t xml:space="preserve">Same hardware as Pro 22 but meter additionally 'Konform zu deutschem Eichrecht', Accuracy Class B -- superset of plain MID. RRP EUR1,499 vs EUR1,099 standard Pro 22.</t>
  </si>
  <si>
    <t xml:space="preserve">Flexpole (AFC-LH-EU-200)</t>
  </si>
  <si>
    <t xml:space="preserve">https://www.elli.eco/media/pages/downloads/technisches-datenblatt-hw-2-0/cedbda3d09-1753368641/en_flexpole_technical_data_sheet_hw2.0_v1.21.pdf</t>
  </si>
  <si>
    <t xml:space="preserve">Technical/Chargers/DC Chargers/Elli</t>
  </si>
  <si>
    <t xml:space="preserve">B2B battery-buffered DC fast charger, 2x CCS, up to 150kW/port (250kW combined via 193.5kWh integrated battery). Datasheet: 'DC metering conform to MID and MessEG' for EU non-German/German markets respectively -- confirmed MID for standard EU (incl NL) installs. 'Flexpole Plus' variant announced 2025, no distinct datasheet found yet.</t>
  </si>
  <si>
    <t xml:space="preserve">Wallbox Pure 2.0</t>
  </si>
  <si>
    <t xml:space="preserve">https://www.spelsberg.de/p/59142701.pdf</t>
  </si>
  <si>
    <t xml:space="preserve">Datasheet explicitly: 'MID-Zaehler integriert: nein'. 11kW/16A, entry-level, no billing-grade metering -- flag as NOT suitable where certified metering is legally required.</t>
  </si>
  <si>
    <t xml:space="preserve">WARP3 Charger Basic</t>
  </si>
  <si>
    <t xml:space="preserve">Previous generation (superseded by WARP4 as promoted line, but still listed). No MID per comparison table.</t>
  </si>
  <si>
    <t xml:space="preserve">WARP3 Charger Smart</t>
  </si>
  <si>
    <t xml:space="preserve">No MID (only Pro has it). PV surplus charging, HTTP/MQTT/Modbus/OCPP/SunSpec supported.</t>
  </si>
  <si>
    <t xml:space="preserve">WARP4 Charger Smart</t>
  </si>
  <si>
    <t xml:space="preserve">https://warp-charger.com/documents/WARP4_Datenblatt.pdf</t>
  </si>
  <si>
    <t xml:space="preserve">Current flagship line. Table: MID meter is 'nur Pro' (Pro only) -- Smart has none.</t>
  </si>
  <si>
    <t xml:space="preserve">WARP4 Charger Pro</t>
  </si>
  <si>
    <t xml:space="preserve">Current flagship, MID variant. 'Integrierter MID-geeichter Stromzaehler nach EU-Messgeraeterichtlinie.' Meter brand not named in datasheet.</t>
  </si>
  <si>
    <t xml:space="preserve">Solar MID</t>
  </si>
  <si>
    <t xml:space="preserve">Ratio Electric official (ratio-electric.com / ratio.nl)</t>
  </si>
  <si>
    <t xml:space="preserve">'Integrated MID-certified energy meter for ERE reimbursement per charged kWh.' 1-phase/3-phase up to 22kW.</t>
  </si>
  <si>
    <t xml:space="preserve">Solar MID 4G</t>
  </si>
  <si>
    <t xml:space="preserve">'Integrated MID-certified meter... meets legal requirements for business billing.' Built-in 4G/SIM. No dedicated public manual located (per-model PDF gated behind ratio.nl lead-capture form).</t>
  </si>
  <si>
    <t xml:space="preserve">Solar RFID</t>
  </si>
  <si>
    <t xml:space="preserve">'With MID compliant energy meter: No' and 'Calibration law compliant: No.' RFID access control, no MID metering.</t>
  </si>
  <si>
    <t xml:space="preserve">Start</t>
  </si>
  <si>
    <t xml:space="preserve">Entry-level unit, no metering capability at all (not even non-MID) per spec table. No dedicated manual located this round.</t>
  </si>
  <si>
    <t xml:space="preserve">ID.Charger Connect 2</t>
  </si>
  <si>
    <t xml:space="preserve">Sold/serviced via Elli; hardware built by Kontron eSystems</t>
  </si>
  <si>
    <t xml:space="preserve">Non-MID sibling of ID.Charger Pro 2, same underlying Kontron eSystems 'ghostONE' hardware platform.</t>
  </si>
  <si>
    <t xml:space="preserve">Peblar Home Plus / Business (white-label)</t>
  </si>
  <si>
    <t xml:space="preserve">https://peblar.com/hubfs/EN_Peblar%20AC%20chargers_R04.pdf?hsLang=en</t>
  </si>
  <si>
    <t xml:space="preserve">Peblar official (peblar.com) + 50five customer reports</t>
  </si>
  <si>
    <t xml:space="preserve">50five migrates new residential installs to Peblar white-label hardware (Peblar's own integrations page lists '50Five' as a partner). Tier sold to a given customer (Home/Home Plus/Business) not publicly documented; Home Plus and Business tiers have MID Class B meter, base Home does not.</t>
  </si>
  <si>
    <t xml:space="preserve">SMILE-G3-EVCT11</t>
  </si>
  <si>
    <t xml:space="preserve">https://www.alphaess.com/En/Skippower/downloadFileF?id=102&amp;mid=80</t>
  </si>
  <si>
    <t xml:space="preserve">11kW three-phase. This is the closest match to the seed's garbled 'SMILE G3 ECVT' name. No MID mention in current datasheet, 2022 prior version, install manual, or Dutch distributor page. AlphaESS sells NO standalone DC EV charger -- DC-side EV charging only via hybrid inverter integration.</t>
  </si>
  <si>
    <t xml:space="preserve">MaxiCharger AC Ultra Street</t>
  </si>
  <si>
    <t xml:space="preserve">https://www.tofco.co.uk/wp-content/uploads/2025/10/Copy-of-ACUltraStreet-DataSheet.pdf</t>
  </si>
  <si>
    <t xml:space="preserve">Autel EU via UK distributor Tofco</t>
  </si>
  <si>
    <t xml:space="preserve">Street/pedestal-mount variant of AC Ultra, dual 22kW ports. Not in seed data. Datasheet explicitly confirms 'Build-in MID Certified meter,' +/-1.0% accuracy.</t>
  </si>
  <si>
    <t xml:space="preserve">MaxiCharger DC Compact</t>
  </si>
  <si>
    <t xml:space="preserve">https://sevadis.com/wp-content/uploads/2024/07/MaxiCharger-DC-Compact-40-47kW-Datasheet.pdf</t>
  </si>
  <si>
    <t xml:space="preserve">Not in seed data. 40-47kW DC fast charger. No MID mention in datasheet/manuals.</t>
  </si>
  <si>
    <t xml:space="preserve">MaxiCharger DC HiPower</t>
  </si>
  <si>
    <t xml:space="preserve">https://www.elfor.org/wp-content/uploads/2024/09/Autel-DC-Hi-Power.pdf</t>
  </si>
  <si>
    <t xml:space="preserve">Autel EU via distributor Elfor</t>
  </si>
  <si>
    <t xml:space="preserve">Not in seed data. Modular ultra-fast DC charger, 320/480/640kW configurations. No MID mention.</t>
  </si>
  <si>
    <t xml:space="preserve">BS30</t>
  </si>
  <si>
    <t xml:space="preserve">https://www.besen-group.com/wp-content/uploads/2024/06/besen-international-group-co-ltd-brochure-04.pdf</t>
  </si>
  <si>
    <t xml:space="preserve">Besen official (besen-group.com)</t>
  </si>
  <si>
    <t xml:space="preserve">3.6/7.2/11/22kW configurable. No MID mention.</t>
  </si>
  <si>
    <t xml:space="preserve">SQW45</t>
  </si>
  <si>
    <t xml:space="preserve">https://www.besen-group.com/wp-content/uploads/2025/01/besen-international-group-co-ltd-sqw45-42.pdf</t>
  </si>
  <si>
    <t xml:space="preserve">3.6/7.2/11/22kW 'high-spec model.' CE/RoHS/REACH only, no MID.</t>
  </si>
  <si>
    <t xml:space="preserve">BN20 (portable)</t>
  </si>
  <si>
    <t xml:space="preserve">https://www.besen-group.com/wp-content/uploads/2024/06/besen-international-group-co-ltd-brochure-15.pdf</t>
  </si>
  <si>
    <t xml:space="preserve">Portable, single-phase 3.6kW/16A. CE/RoHS only.</t>
  </si>
  <si>
    <t xml:space="preserve">BN60 (portable)</t>
  </si>
  <si>
    <t xml:space="preserve">https://www.besen-group.com/wp-content/uploads/2024/06/besen-international-group-co-ltd-brochure-16.pdf</t>
  </si>
  <si>
    <t xml:space="preserve">Portable, 11kW three-phase. No display/metering functions at all.</t>
  </si>
  <si>
    <t xml:space="preserve">BN70 (portable)</t>
  </si>
  <si>
    <t xml:space="preserve">https://www.besen-group.com/wp-content/uploads/2025/02/besen-international-group-co-ltd-bn70-04.pdf</t>
  </si>
  <si>
    <t xml:space="preserve">Portable, 22kW APP-controlled, 32A max.</t>
  </si>
  <si>
    <t xml:space="preserve">BN30</t>
  </si>
  <si>
    <t xml:space="preserve">2024 model, 3.6/7.2/11/22kW. Datasheet gated behind inquiry form, no direct PDF found. No MID mentioned anywhere on besen-group.com.</t>
  </si>
  <si>
    <t xml:space="preserve">CC40</t>
  </si>
  <si>
    <t xml:space="preserve">3.6/7.2/11/22kW 'designed for HUNK.' Catalog gated behind contact form. No MID mentioned anywhere on besen-group.com.</t>
  </si>
  <si>
    <t xml:space="preserve">SQ20</t>
  </si>
  <si>
    <t xml:space="preserve">3.6/7.2/11/22kW, 3.5in color LCD, IP66/IK10. Documentation gated behind inquiry form. No MID mentioned anywhere on besen-group.com.</t>
  </si>
  <si>
    <t xml:space="preserve">OSTRA Home &amp; Work 22</t>
  </si>
  <si>
    <t xml:space="preserve">https://autoladen.nl/wp-content/uploads/2023/05/Ostra-WorkHome-22-brochure.pdf</t>
  </si>
  <si>
    <t xml:space="preserve">Datasheet found, download pending (unverified - proxy rate-limited)</t>
  </si>
  <si>
    <t xml:space="preserve">OSTRA official + reseller autoladen.nl</t>
  </si>
  <si>
    <t xml:space="preserve">Split from the combined seed row. 'MID gecertificeerde kWh meter' per reseller/official listing. Up to 2 charge points, Dynamic Load Balancing, RFID. Meter brand unconfirmed.</t>
  </si>
  <si>
    <t xml:space="preserve">OSTRA Start 22</t>
  </si>
  <si>
    <t xml:space="preserve">OSTRA official (ostracharger.com)</t>
  </si>
  <si>
    <t xml:space="preserve">Entry-level model, not in original seed data.</t>
  </si>
  <si>
    <t xml:space="preserve">OSTRA Business 22</t>
  </si>
  <si>
    <t xml:space="preserve">Commercial/public tier, 3 connectivity variants (HUB/SAT/LTE), all MID-metered. Not in original seed data.</t>
  </si>
  <si>
    <t xml:space="preserve">BlueBuilt with fixed cable</t>
  </si>
  <si>
    <t xml:space="preserve">Peblar/Prodrive Technologies</t>
  </si>
  <si>
    <t xml:space="preserve">Same underlying platform as socket variant, ships with integrated 4.5m cable instead. 22kW config = MID Yes.</t>
  </si>
  <si>
    <t xml:space="preserve">EVPLUS22C</t>
  </si>
  <si>
    <t xml:space="preserve">https://repository.cabur.it/pdf/EVPLUS22C_en.pdf</t>
  </si>
  <si>
    <t xml:space="preserve">22kW with integrated 5m cable. 'Power meter MID certificate.'</t>
  </si>
  <si>
    <t xml:space="preserve">EVPLUS7S</t>
  </si>
  <si>
    <t xml:space="preserve">https://repository.cabur.it/pdf/EVPLUS7S_en.pdf</t>
  </si>
  <si>
    <t xml:space="preserve">3.5-7.4kW, no cable. 'Integrated Meter MID certificate.'</t>
  </si>
  <si>
    <t xml:space="preserve">EVPLUS7C</t>
  </si>
  <si>
    <t xml:space="preserve">https://repository.cabur.it/pdf/EVPLUS7C_en.pdf</t>
  </si>
  <si>
    <t xml:space="preserve">3.5-7.4kW with integrated 5m cable.</t>
  </si>
  <si>
    <t xml:space="preserve">EVEVO22S</t>
  </si>
  <si>
    <t xml:space="preserve">https://repository.cabur.it/pdf/EVEVO22S_en.pdf</t>
  </si>
  <si>
    <t xml:space="preserve">22kW, no cable. Datasheet explicitly checked -- 'MID' absent, only 'Electronic measurement.' Smart connectivity (BT/WiFi/Ethernet/4G), PV integration.</t>
  </si>
  <si>
    <t xml:space="preserve">EVEVO22C</t>
  </si>
  <si>
    <t xml:space="preserve">https://repository.cabur.it/pdf/EVEVO22C_en.pdf</t>
  </si>
  <si>
    <t xml:space="preserve">22kW with integrated cable. Same non-MID electronic metering as EVEVO22S (inferred from series consistency, not individually word-searched).</t>
  </si>
  <si>
    <t xml:space="preserve">EVEVO11S</t>
  </si>
  <si>
    <t xml:space="preserve">https://repository.cabur.it/pdf/EVEVO11S_en.pdf</t>
  </si>
  <si>
    <t xml:space="preserve">11kW, no cable.</t>
  </si>
  <si>
    <t xml:space="preserve">EVEVO11C</t>
  </si>
  <si>
    <t xml:space="preserve">https://repository.cabur.it/pdf/EVEVO11C_en.pdf</t>
  </si>
  <si>
    <t xml:space="preserve">11kW with integrated cable.</t>
  </si>
  <si>
    <t xml:space="preserve">EVEVO7S</t>
  </si>
  <si>
    <t xml:space="preserve">https://repository.cabur.it/pdf/EVEVO7S_en.pdf</t>
  </si>
  <si>
    <t xml:space="preserve">3.5-7.4kW, no cable. Explicitly checked -- 'MID' absent.</t>
  </si>
  <si>
    <t xml:space="preserve">EVEVO7C</t>
  </si>
  <si>
    <t xml:space="preserve">https://repository.cabur.it/pdf/EVEVO7C_en.pdf</t>
  </si>
  <si>
    <t xml:space="preserve">3.5-7.4kW with integrated cable.</t>
  </si>
  <si>
    <t xml:space="preserve">EVEASY22S</t>
  </si>
  <si>
    <t xml:space="preserve">https://repository.cabur.it/pdf/EVEASY22S_en.pdf</t>
  </si>
  <si>
    <t xml:space="preserve">3.5-22kW, no cable. Datasheet states 'Power metering: None' -- no meter at all.</t>
  </si>
  <si>
    <t xml:space="preserve">EVEASY22C</t>
  </si>
  <si>
    <t xml:space="preserve">https://repository.cabur.it/pdf/EVEASY22C_en.pdf</t>
  </si>
  <si>
    <t xml:space="preserve">3.5-22kW with integrated cable. 'Power metering: None.'</t>
  </si>
  <si>
    <t xml:space="preserve">EVCOMP7S</t>
  </si>
  <si>
    <t xml:space="preserve">https://repository.cabur.it/pdf/EVCOMP7S_en.pdf</t>
  </si>
  <si>
    <t xml:space="preserve">3.5-7.4kW, entry-level compact model, no cable. 'Power metering: None.'</t>
  </si>
  <si>
    <t xml:space="preserve">Cube 2.0</t>
  </si>
  <si>
    <t xml:space="preserve">CubeCharging official (cubecharging.com) / ElaadNL</t>
  </si>
  <si>
    <t xml:space="preserve">Current flagship, 1.2-22kW adjustable, solar integration, dynamic pricing, V2G-capable. 'Coming soon' -- not yet launched (expected Q3 2026), so no datasheet exists. MID claimed on cubecharging.com but unverified (not listed in erecentrum.nl's MID-model matrix).</t>
  </si>
  <si>
    <t xml:space="preserve">Cube Laadzuil</t>
  </si>
  <si>
    <t xml:space="preserve">Charging pedestal, 2-6 sockets, up to 22kW/3-phase per socket. Legacy business line -- MID per reseller brochure only, no official datasheet.</t>
  </si>
  <si>
    <t xml:space="preserve">CubeCharger Double / Triple</t>
  </si>
  <si>
    <t xml:space="preserve">https://elaad.nl/wp-content/uploads/2023/10/Installatie-handleiding-CubeCharger-Double-Triple-V2.0.pdf</t>
  </si>
  <si>
    <t xml:space="preserve">Datasheet found, download pending (technical issue - installation manual, not formal datasheet)</t>
  </si>
  <si>
    <t xml:space="preserve">Public charging station. ElaadNL installation manual (not a formal datasheet) only says 'space for meter board with smart meter' -- MID status unconfirmed. 3-phase 400V+N, 6-32A per point adjustable.</t>
  </si>
  <si>
    <t xml:space="preserve">CityCharge 2.0</t>
  </si>
  <si>
    <t xml:space="preserve">Multifunctional lamppost charger for two EVs, connects to Cube charging stations. No specs found anywhere -- flagged for follow-up.</t>
  </si>
  <si>
    <t xml:space="preserve">Charge Easy Wandlader</t>
  </si>
  <si>
    <t xml:space="preserve">Reseller Oosterberg -- manufacturer site blocked</t>
  </si>
  <si>
    <t xml:space="preserve">Wall-mounted variant, not in original seed data (seed only listed 'Charge Easy' and 'Laadzuil'). Reseller SKU 'DIC W-2PMVDCBV11/22R7021' lists 'Met energiemeter: Ja' but 'MID' not found on that page.</t>
  </si>
  <si>
    <t xml:space="preserve">PowerPulse (1st-gen / Residential, EF-PP-H01-1)</t>
  </si>
  <si>
    <t xml:space="preserve">https://enterprise-service-eu-cdn.ecoflow.com/enterprise/documentation/1772525640733/EcoFlow%20PowerPulse%20Residential%20EV%20Charger_Datasheet_EN.pdf</t>
  </si>
  <si>
    <t xml:space="preserve">EcoFlow official EU</t>
  </si>
  <si>
    <t xml:space="preserve">Not in seed data -- a DIFFERENT, still-actively-sold product line from PowerPulse 2 (energy.ecoflow.com/eu/products/powerpulse). Single-phase max 3.7kW / three-phase max 11kW. Internal meter only 2% accuracy, not MID. Optional external 'ADL400 DIN rail energy meter' accessory, MID status of that accessory not confirmed.</t>
  </si>
  <si>
    <t xml:space="preserve">ENO public xl</t>
  </si>
  <si>
    <t xml:space="preserve">https://www.enovates.com/wp-content/uploads/2024/01/Leaflet-Trapezium-XL-EN.pdf</t>
  </si>
  <si>
    <t xml:space="preserve">Not in seed data -- larger-capacity variant of ENO public. Up to 22kW/32A per EVSE, 2x Type 2 (shutter) + 1x Type E (Schuko). 'MID certified class B meter per EVSE.'</t>
  </si>
  <si>
    <t xml:space="preserve">Home (zonder stroomverrekening)</t>
  </si>
  <si>
    <t xml:space="preserve">Same hardware/power range as 'met stroomverrekening', differs only by billing config. Product page lists 'MID-meter' as a feature.</t>
  </si>
  <si>
    <t xml:space="preserve">Business Duo (2x22kW)</t>
  </si>
  <si>
    <t xml:space="preserve">https://flexicharge.b-cdn.net/wp-content/uploads/2026/01/TS-NED-80021-Flexicharge-Business-Duo-2x22kW.pdf</t>
  </si>
  <si>
    <t xml:space="preserve">Pedestal with 2 sockets, 2 independent MID-certified kWh meters confirmed via 2023 spec PDF text.</t>
  </si>
  <si>
    <t xml:space="preserve">Business Wall Duo (2x22kW)</t>
  </si>
  <si>
    <t xml:space="preserve">https://flexicharge.b-cdn.net/wp-content/uploads/2026/01/TS-NED-80064-Flexicharge-Business-Wall-Duo-2x-22kW-PB.pdf</t>
  </si>
  <si>
    <t xml:space="preserve">Wall-mounted dual-socket variant. 2 MID-certified meters confirmed in 2023 spec PDF text.</t>
  </si>
  <si>
    <t xml:space="preserve">Dual EV Charger / Pedestal EV Charger</t>
  </si>
  <si>
    <t xml:space="preserve">Not in seed data. Strongest, most explicit MID confirmation found for any Grasen model: '2x MID Meter', 'MID Certified Meter x 2', dual reading windows. 7/11/22kW per outlet. Likely the same physical unit marketed under 2 names (grasen.com 'Pedestal EV Charger' / grasencharge.com 'Dual EV Charger').</t>
  </si>
  <si>
    <t xml:space="preserve">Hey! One Base</t>
  </si>
  <si>
    <t xml:space="preserve">https://heycharging.com/wp-content/uploads/2026/01/HEY_nl_handleiding_ONE_base_2.09-1.pdf</t>
  </si>
  <si>
    <t xml:space="preserve">Entry-level tier, same AC/22kW hardware platform as Smart but no connectivity/no metering ('plug in and charge').</t>
  </si>
  <si>
    <t xml:space="preserve">Hey! One Connect Plus (legacy)</t>
  </si>
  <si>
    <t xml:space="preserve">https://heycharging.com/wp-content/uploads/2022/03/HEY_nl_handleiding_ONE_connect_plus_v2.07.pdf</t>
  </si>
  <si>
    <t xml:space="preserve">This is the exact model name from the seed data, confirmed real but the manual is dated 2022 (v2.07) and does NOT explicitly mention MID, unlike the current 'Smart' manual. Site now only advertises Base/Smart -- likely discontinued/renamed to Smart.</t>
  </si>
  <si>
    <t xml:space="preserve">Delta</t>
  </si>
  <si>
    <t xml:space="preserve">https://cdn.shopify.com/s/files/1/0686/5276/1363/files/NexBlue_NexBlue_Delta_Product_sheet_SV.pdf?v=1776155927</t>
  </si>
  <si>
    <t xml:space="preserve">Not in seed data -- genuinely distinct SKU (NB1620D). Socket-only wall unit variant of Edge. Same power specs as Edge 2 (1.4-22kW), built-in meter +/-1% but not MID.</t>
  </si>
  <si>
    <t xml:space="preserve">Delta Max</t>
  </si>
  <si>
    <t xml:space="preserve">https://cdn.shopify.com/s/files/1/0686/5276/1363/files/NexBlue_NexBlue_Delta_Max_Product_sheet_SV.pdf?v=1776155995</t>
  </si>
  <si>
    <t xml:space="preserve">SKU NB1620E. Confirmed 'MID compliant'/'MID certification class B'. A separate 'Delta Max (UK)' regional variant also exists.</t>
  </si>
  <si>
    <t xml:space="preserve">Voldt Mobile CCS2 40kW Fast Charger</t>
  </si>
  <si>
    <t xml:space="preserve">Technical/Chargers/DC Chargers/Voldt</t>
  </si>
  <si>
    <t xml:space="preserve">Voldt official (voldt.co.uk)</t>
  </si>
  <si>
    <t xml:space="preserve">Not in seed data. Portable DC fast-charging product (Mode 4, CCS2, up to 40kW, 3-phase 63A input, IP54). CE/UKCA/TUV certified. No MID/meter-brand mention found; no datasheet PDF located.</t>
  </si>
  <si>
    <t xml:space="preserve">Voldt Sitecharge (Type 2, 2x11/2x22kW)</t>
  </si>
  <si>
    <t xml:space="preserve">Not in seed data. Voldt's FIXED/dual-output line (not portable) -- shows the brand also sells non-mobile hardware, unlike what the seed's single 'Mobile OCPP Charger' entry implied. Also sold via Dutch distributor BlackCharge. No datasheet or MID details confirmed.</t>
  </si>
  <si>
    <t xml:space="preserve">One Business ("ENO one for business")</t>
  </si>
  <si>
    <t xml:space="preserve">Volt Time official (volttime.com)</t>
  </si>
  <si>
    <t xml:space="preserve">Not in seed data. Product page states 'MID Class B 2014/32/EU certified (&lt;1%)' but a separate FAQ on the 'One' page instead says 'built-in MID Class C metering' -- Class B vs C discrepancy across Volt Time's own pages, needs vendor confirmation. Very likely REBADGED ENOVATES 'ENO one' hardware (internally branded 'ENO one for business') -- cross-reference Enovates rows.</t>
  </si>
  <si>
    <t xml:space="preserve">Not in seed data (was 'Two Pro' in seed but unclear if same). Product page: '2x MID Class B certified (&lt;1% accuracy)', dual-socket, 44kW input, 2x22kW output. Only a 'Concept'-labeled installation guide found (dated Apr 2026) -- product may still be in pre-release/beta status.</t>
  </si>
  <si>
    <t xml:space="preserve">CC30</t>
  </si>
  <si>
    <t xml:space="preserve">3.6-22kW, same connector options as WB20, compact/lightweight variant. No PDF datasheet link found.</t>
  </si>
  <si>
    <t xml:space="preserve">P60 (portable)</t>
  </si>
  <si>
    <t xml:space="preserve">https://wissenergy.com/wp-content/uploads/2024/09/P60-black-poster.pdf</t>
  </si>
  <si>
    <t xml:space="preserve">Datasheet found, download pending (technical issue - graphic-only poster PDF)</t>
  </si>
  <si>
    <t xml:space="preserve">11kW, 16A 3-phase 400V, IP66, CEE plug. Datasheet is a graphic-only 'poster' PDF -- URL loads but MID wording could not be confirmed inside the image.</t>
  </si>
  <si>
    <t xml:space="preserve">WS020 (portable)</t>
  </si>
  <si>
    <t xml:space="preserve">https://wissenergy.com/wp-content/uploads/2024/11/WS020-poster.pdf</t>
  </si>
  <si>
    <t xml:space="preserve">3.6kW, 10/13/16A single-phase, IP66/IK10. Same graphic-only-poster caveat as P60.</t>
  </si>
  <si>
    <t xml:space="preserve">WS030 (portable)</t>
  </si>
  <si>
    <t xml:space="preserve">3.6kW, 16A single-phase, LCD display (power draw only, not certified metering). Also sold on Amazon US/UK, possibly rebadged.</t>
  </si>
  <si>
    <t xml:space="preserve">WS018 (portable)</t>
  </si>
  <si>
    <t xml:space="preserve">3.6kW 'mini' form factor, 8/10/16A adjustable, IP66/IK10.</t>
  </si>
  <si>
    <t xml:space="preserve">SQP039 (portable)</t>
  </si>
  <si>
    <t xml:space="preserve">8.8kW (NA, 40A) / 7.2kW (EU, 32A), ETL/FCC/CE/RoHS.</t>
  </si>
  <si>
    <t xml:space="preserve">ABL</t>
  </si>
  <si>
    <t xml:space="preserve">eMH1</t>
  </si>
  <si>
    <t xml:space="preserve">https://www.ablmobility.de/global/downloads/datenblaetter/emh1/eMH1_DE/ABL_1W1101_DE.pdf?m=1715754871</t>
  </si>
  <si>
    <t xml:space="preserve">Technical/Chargers/AC Chargers/ABL</t>
  </si>
  <si>
    <t xml:space="preserve">ABL official (ablmobility.de)</t>
  </si>
  <si>
    <t xml:space="preserve">Basic residential AC wallbox, 3.6/7.2/11/22kW variants, cable or socket. No meter. 59 item-number variants under one CE DoC.</t>
  </si>
  <si>
    <t xml:space="preserve">eMH1 Basic</t>
  </si>
  <si>
    <t xml:space="preserve">https://www.mobilityhouse.com/media/productattachments/files/Produktdatenblatt_ABL_1W2208_DE.pdf</t>
  </si>
  <si>
    <t xml:space="preserve">Entry-level 11/22kW, single fixed Type 2 cable, no RFID, no metering.</t>
  </si>
  <si>
    <t xml:space="preserve">eMH2</t>
  </si>
  <si>
    <t xml:space="preserve">https://www.ablmobility.de/global/downloads/datenblaetter/emh2/eMH2_DE/ABL_2W2230_DE.pdf?m=1715754872</t>
  </si>
  <si>
    <t xml:space="preserve">22kW single point (Extender/Controller group-management variants exist). 'MID-konform' -- no meter chip brand named.</t>
  </si>
  <si>
    <t xml:space="preserve">eMH3 (Single)</t>
  </si>
  <si>
    <t xml:space="preserve">https://www.ablmobility.de/global/downloads/datenblaetter/emh3/eMH3_DE/ABL_3W2261_DE.pdf?m=1715754872</t>
  </si>
  <si>
    <t xml:space="preserve">Up to 22kW per point / 44kW twin. Many item-number variants (Controller/Extender, MID vs Eichrecht-compliant vs non-metered).</t>
  </si>
  <si>
    <t xml:space="preserve">eM4 (Single)</t>
  </si>
  <si>
    <t xml:space="preserve">https://www.ablmobility.de/global/downloads/datenblaetter/eM4/eM4_ENG/ABL_Datasheet_eM4_EN_b.pdf</t>
  </si>
  <si>
    <t xml:space="preserve">1x22kW (3-phase) or 7.4kW (1-phase); Twin variant available. Variant-dependent MID/Eichrecht -- base SKU 100000004 explicitly NOT Eichrecht-compliant, other SKUs are.</t>
  </si>
  <si>
    <t xml:space="preserve">eMC2 (charging pole)</t>
  </si>
  <si>
    <t xml:space="preserve">https://www.ablmobility.de/global/downloads/datenblaetter/emc2/eMC2_ENG/ABL_2P4426_ENG.pdf?m=1715754871</t>
  </si>
  <si>
    <t xml:space="preserve">Two integrated Type 2 sockets, 22kW/32A per point, 44kW total. Per-point MID-compliant meter standard.</t>
  </si>
  <si>
    <t xml:space="preserve">eMC3 (charging pole)</t>
  </si>
  <si>
    <t xml:space="preserve">https://www.ablmobility.de/global/downloads/datenblaetter/emc3/emc3_ENG/ABL_eMC3_Series_EN_a-3.pdf</t>
  </si>
  <si>
    <t xml:space="preserve">Two 22kW points (44kW total), two independent MID-compliant energy meters, compliant with 'MessEV Modul B' (German calibration-law module B).</t>
  </si>
  <si>
    <t xml:space="preserve">ABL Pulsar</t>
  </si>
  <si>
    <t xml:space="preserve">https://www.ablmobility.de/global/downloads/datenblaetter/abl_pulsar/pulsar_en/ABL_100000446_EN_f.pdf</t>
  </si>
  <si>
    <t xml:space="preserve">Cross-brand SKU: this is a Wallbox N.V. product (Wallbox's own 'Pulsar' line) sold via ablmobility.de post-2023 acquisition, not the legacy ABL eMH design lineage. Base unit has no integrated meter; optional 'Company Car Bundle' adds an external MID-certified meter.</t>
  </si>
  <si>
    <t xml:space="preserve">ABL Pulsar Pro</t>
  </si>
  <si>
    <t xml:space="preserve">https://www.ablmobility.de/global/downloads/datenblaetter/abl_pulsar_pro/Wallbox_PulsarPro_100000827_EN.pdf?m=1776342327</t>
  </si>
  <si>
    <t xml:space="preserve">Cross-brand SKU (Wallbox-brand product distributed via ABL). 22kW (3-phase) / 7.4kW (1-phase). 'Internal energy meter MID compliant' -- fleet/company-car billing use case.</t>
  </si>
  <si>
    <t xml:space="preserve">ABL Supernova / Supernova+</t>
  </si>
  <si>
    <t xml:space="preserve">https://www.ablmobility.de/global/downloads/datenblaetter/abl-supernova/Wallbox_Datasheet_Supernova_EN_042026_1.pdf</t>
  </si>
  <si>
    <t xml:space="preserve">Technical/Chargers/DC Chargers/ABL</t>
  </si>
  <si>
    <t xml:space="preserve">Cross-brand SKU: sole DC model under ABL, but hardware lineage is Wallbox N.V.'s DC line (not historical ABL eMH/eMC family), rebadged for the ABL/DACH storefront. Scalable 60-220kW, dual CCS2 outputs. 'Energy meter AC MID &amp; DC for each output' -- calibration-law compliant, no chip brand named.</t>
  </si>
  <si>
    <t xml:space="preserve">Saia-Burgess Controls</t>
  </si>
  <si>
    <t xml:space="preserve">ALE3D5F (MID version: ALE3D5FD10C3A00)</t>
  </si>
  <si>
    <t xml:space="preserve">Saia-Burgess Controls AG</t>
  </si>
  <si>
    <t xml:space="preserve">ALE3D5FD10C3A00</t>
  </si>
  <si>
    <t xml:space="preserve">https://taphome.com/compatibility/devices/sbcale3d5f/manufacturer/26-527_ENG_DS_EnergyMeter-ALE3-with-Modbus.pdf</t>
  </si>
  <si>
    <t xml:space="preserve">Technical/Meters/Saia-Burgess Controls</t>
  </si>
  <si>
    <t xml:space="preserve">User-supplied (taphome.com device-compatibility mirror of manufacturer datasheet)</t>
  </si>
  <si>
    <t xml:space="preserve">Three-phase energy meter with integrated Modbus RTU (RS-485) interface, Class B (EN50470-3) / Class 1 (IEC62053-21), 3x230/400VAC up to 65A direct measurement, 1000 imp/kWh pulse output, DIN rail mount. Sold in a standard (ALE3D5FD10C2A00) and MID-certified (ALE3D5FD10C3A00) version. Manufacturer: Saia-Burgess Controls AG, Murten, Switzerland. Added per user request -- charger brand(s) that use this meter not yet identified/cross-referenced.</t>
  </si>
  <si>
    <t xml:space="preserve">SmartWB</t>
  </si>
  <si>
    <t xml:space="preserve">Individual</t>
  </si>
  <si>
    <t xml:space="preserve">Eastron</t>
  </si>
  <si>
    <t xml:space="preserve">SDM72D-M-2 or SDM630-Modbus (batch-dependent)</t>
  </si>
  <si>
    <t xml:space="preserve">https://shop.evse-wifi.de/produkt/smartwb-wallbox-11kw/</t>
  </si>
  <si>
    <t xml:space="preserve">Technical/Chargers/AC Chargers/SmartWB</t>
  </si>
  <si>
    <t xml:space="preserve">Manufacturer EVSE-WiFi.de (Mathias Nachbaur, Augsburg, Germany) via forwarded email to Zeres, 3 Aug 2026 + shop.evse-wifi.de official product page</t>
  </si>
  <si>
    <t xml:space="preserve">Not on the original 66-brand Zeres seed list -- surfaced via a forwarded email chain (installer Rik van Lohuizen / vlec.nl -&gt; Zeres, quoting manufacturer Mathias Nachbaur of EVSE-WiFi.de) requesting ERE-list approval. Manufacturer statement (3 Aug 2026): 'We install exclusively MID-certified electricity meters in our smartWB (Individual and Classic). Depending on the batch, either an Eastron SDM72D-M-2 (MID) or an Eastron SDM630-Modbus (MID) is installed.' This is a rare CONFIRMED charger-brand-to-meter-brand link (manufacturer's own words), one of only a few found in this whole project alongside Tesla's DoC and Inepro-in-Ratio-Electric. 'Individual' variant: 11kW (3-phase, 16A max, single-phase operation also possible), configurable cable length (3.5/5/7.5/9m). Product page markets it only as 'geeichter Stromzähler' (calibrated meter), not explicitly 'MID' -- the manufacturer's direct email statement is the actual MID confirmation, not the marketing copy.</t>
  </si>
  <si>
    <t xml:space="preserve">Classic</t>
  </si>
  <si>
    <t xml:space="preserve">https://shop.evse-wifi.de/produkt/smartwb-classic/</t>
  </si>
  <si>
    <t xml:space="preserve">Not on the original 66-brand Zeres seed list -- surfaced via a forwarded email chain (installer Rik van Lohuizen / vlec.nl -&gt; Zeres, quoting manufacturer Mathias Nachbaur of EVSE-WiFi.de) requesting ERE-list approval. Manufacturer statement (3 Aug 2026): 'We install exclusively MID-certified electricity meters in our smartWB (Individual and Classic). Depending on the batch, either an Eastron SDM72D-M-2 (MID) or an Eastron SDM630-Modbus (MID) is installed.' This is a rare CONFIRMED charger-brand-to-meter-brand link (manufacturer's own words), one of only a few found in this whole project alongside Tesla's DoC and Inepro-in-Ratio-Electric. 'Classic' variant: 11kW (3-phase, 16A max), fixed 7.5m Type 2 cable, includes Type B RCD. Product page explicitly calls out 'geeichter RS485-Zähler' (calibrated RS485 meter) -- consistent with the Eastron Modbus meters' RS485 interface.</t>
  </si>
  <si>
    <t xml:space="preserve">SDM72D-M-2-MID (3K7)</t>
  </si>
  <si>
    <t xml:space="preserve">SDM72D-M-2-MID</t>
  </si>
  <si>
    <t xml:space="preserve">https://www.eastroneurope.com/products/view/sdm72d-m-2-3k7</t>
  </si>
  <si>
    <t xml:space="preserve">Technical/Meters/Eastron</t>
  </si>
  <si>
    <t xml:space="preserve">Filed to Drive (user-provided attachment: 'eastron sdm72d-m_100a_datasheet.pdf')</t>
  </si>
  <si>
    <t xml:space="preserve">Eastron Europe official (eastroneurope.com) + user-forwarded manufacturer datasheet attachment (Gmail, 7 Aug 2026 email from Storm)</t>
  </si>
  <si>
    <t xml:space="preserve">Confirmed installed in SmartWB Individual/Classic wallboxes (per manufacturer EVSE-WiFi.de statement). MID Certified Module B and D per EN50470-1/EN50470-3 Class B, -40C to +75C rated. 100A three-phase direct connection, 4-module DIN rail. Built-in Modbus RTU + pulse output (1000 imp/kWh typical for this family). Also EMC (EN61326) and LVD (EN61010) certified. The exact PDF the user attached ('eastron sdm72d-m_100a_datasheet.pdf', 11MB) was not re-fetched/re-verified by Claude in this session -- filed based on the Eastron Europe official product page instead, which should match.</t>
  </si>
  <si>
    <t xml:space="preserve">SDM630-Modbus-MID</t>
  </si>
  <si>
    <t xml:space="preserve">SDM630-M-MID</t>
  </si>
  <si>
    <t xml:space="preserve">https://www.eastroneurope.com/products/view/sdm630modbus</t>
  </si>
  <si>
    <t xml:space="preserve">Filed to Drive (user-provided attachment: 'eastronsdm630series_100a_datasheet.pdf')</t>
  </si>
  <si>
    <t xml:space="preserve">Confirmed installed in SmartWB Individual/Classic wallboxes (per manufacturer EVSE-WiFi.de statement, alternate batch to SDM72D-M-2). MID Certified Module B and D per EN50470-1/EN50470-3, accuracy Class 1 or 2 per EN/IEC62052-11. 100A direct connected, supports 1p2w/3p3w/3p4w wiring, self-powered (no aux supply needed), built-in Modbus + pulse output. Also EMC (EN61326) and LVD (EN61010) certified. The exact PDF the user attached ('eastronsdm630series_100a_datasheet.pdf', part of an 11MB combined attachment) was not re-fetched/re-verified by Claude in this session -- filed based on the Eastron Europe official product page instead.</t>
  </si>
  <si>
    <t xml:space="preserve">Primary Charge Type</t>
  </si>
  <si>
    <t xml:space="preserve">Models in Seed Data</t>
  </si>
  <si>
    <t xml:space="preserve">MID Yes</t>
  </si>
  <si>
    <t xml:space="preserve">MID No</t>
  </si>
  <si>
    <t xml:space="preserve">MID Maybe</t>
  </si>
  <si>
    <t xml:space="preserve">ALP EV</t>
  </si>
  <si>
    <t xml:space="preserve">AC/DC</t>
  </si>
  <si>
    <t xml:space="preserve">BlueBird Power</t>
  </si>
  <si>
    <t xml:space="preserve">BlueBuilt (Coolblue)</t>
  </si>
  <si>
    <t xml:space="preserve">Ostra</t>
  </si>
  <si>
    <t xml:space="preserve">Total brands tracked:</t>
  </si>
  <si>
    <t xml:space="preserve">Brands with seed data:</t>
  </si>
  <si>
    <t xml:space="preserve">Brands needing research:</t>
  </si>
  <si>
    <t xml:space="preserve">Target Drive Folder Tree</t>
  </si>
  <si>
    <t xml:space="preserve">Technical/</t>
  </si>
  <si>
    <t xml:space="preserve">  Chargers/</t>
  </si>
  <si>
    <t xml:space="preserve">    AC Chargers/</t>
  </si>
  <si>
    <t xml:space="preserve">      &lt;Brand 1&gt;/   &lt;- manufacturer datasheets for each AC model, named Brand_Model_datasheet.pdf</t>
  </si>
  <si>
    <t xml:space="preserve">      &lt;Brand 2&gt;/</t>
  </si>
  <si>
    <t xml:space="preserve">      ...</t>
  </si>
  <si>
    <t xml:space="preserve">    DC Chargers/</t>
  </si>
  <si>
    <t xml:space="preserve">      &lt;Brand 1&gt;/   &lt;- manufacturer datasheets for each DC model</t>
  </si>
  <si>
    <t xml:space="preserve">  Meters/</t>
  </si>
  <si>
    <t xml:space="preserve">    &lt;Meter Brand 1&gt;/   &lt;- MID certificates, named MeterBrand_Model_MID_certificate.pdf</t>
  </si>
  <si>
    <t xml:space="preserve">    &lt;Meter Brand 2&gt;/</t>
  </si>
  <si>
    <t xml:space="preserve">    ...</t>
  </si>
  <si>
    <t xml:space="preserve">File naming convention: {Brand}_{Model}_datasheet.pdf and {MeterBrand}_{MeterModel}_MID_certificate.pdf</t>
  </si>
  <si>
    <t xml:space="preserve">Folder names should exactly match the 'Brand' spelling used in Master Tracker / Brand Coverage tabs.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</si>
</sst>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sz val="10"/>
      <name val="Arial"/>
      <family val="2"/>
    </font>
    <font>
      <sz val="10"/>
      <name val="Consolas"/>
      <family val="0"/>
      <charset val="1"/>
    </font>
  </fonts>
  <fills count="6">
    <fill>
      <patternFill patternType="none"/>
    </fill>
    <fill>
      <patternFill patternType="gray125"/>
    </fill>
    <fill>
      <patternFill patternType="solid">
        <fgColor rgb="FF1F4E3D"/>
        <bgColor rgb="FF003366"/>
      </patternFill>
    </fill>
    <fill>
      <patternFill patternType="solid">
        <fgColor rgb="FFFCE8B2"/>
        <bgColor rgb="FFFFFFCC"/>
      </patternFill>
    </fill>
    <fill>
      <patternFill patternType="solid">
        <fgColor rgb="FFC6E7C6"/>
        <bgColor rgb="FFD9D9D9"/>
      </patternFill>
    </fill>
    <fill>
      <patternFill patternType="solid">
        <fgColor rgb="FFF4C7C3"/>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3D"/>
          <bgColor rgb="FF000000"/>
        </patternFill>
      </fill>
    </dxf>
    <dxf>
      <fill>
        <patternFill patternType="solid">
          <bgColor rgb="FF000000"/>
        </patternFill>
      </fill>
    </dxf>
    <dxf>
      <fill>
        <patternFill patternType="solid">
          <fgColor rgb="FFFFFFFF"/>
          <bgColor rgb="FF000000"/>
        </patternFill>
      </fill>
    </dxf>
    <dxf>
      <fill>
        <patternFill patternType="solid">
          <fgColor rgb="FFC6E7C6"/>
          <bgColor rgb="FF000000"/>
        </patternFill>
      </fill>
    </dxf>
    <dxf>
      <fill>
        <patternFill patternType="solid">
          <fgColor rgb="FFF4C7C3"/>
          <bgColor rgb="FF000000"/>
        </patternFill>
      </fill>
    </dxf>
    <dxf>
      <fill>
        <patternFill patternType="solid">
          <fgColor rgb="FFFCE8B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7C6"/>
      <rgbColor rgb="FFFCE8B2"/>
      <rgbColor rgb="FF99CCFF"/>
      <rgbColor rgb="FFFF99CC"/>
      <rgbColor rgb="FFCC99FF"/>
      <rgbColor rgb="FFF4C7C3"/>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BrandCoverage" displayName="BrandCoverage" ref="A1:H72" headerRowCount="1" totalsRowCount="0" totalsRowShown="0">
  <autoFilter ref="A1:H72"/>
  <tableColumns count="8">
    <tableColumn id="1" name="Brand"/>
    <tableColumn id="2" name="Primary Charge Type"/>
    <tableColumn id="3" name="Models in Seed Data"/>
    <tableColumn id="4" name="MID Yes"/>
    <tableColumn id="5" name="MID No"/>
    <tableColumn id="6" name="MID Maybe"/>
    <tableColumn id="7" name="Research Status"/>
    <tableColumn id="8" name="Notes"/>
  </tableColumns>
</table>
</file>

<file path=xl/tables/table2.xml><?xml version="1.0" encoding="utf-8"?>
<table xmlns="http://schemas.openxmlformats.org/spreadsheetml/2006/main" id="2" name="MasterTracker" displayName="MasterTracker" ref="A1:M180" headerRowCount="1" totalsRowCount="0" totalsRowShown="0">
  <autoFilter ref="A1:M180"/>
  <tableColumns count="13">
    <tableColumn id="1" name="Record Type"/>
    <tableColumn id="2" name="Brand"/>
    <tableColumn id="3" name="Model"/>
    <tableColumn id="4" name="Charge Type"/>
    <tableColumn id="5" name="MID Status"/>
    <tableColumn id="6" name="Meter Brand"/>
    <tableColumn id="7" name="Meter Model"/>
    <tableColumn id="8" name="Datasheet Link"/>
    <tableColumn id="9" name="Certificate Link"/>
    <tableColumn id="10" name="Drive Folder Path"/>
    <tableColumn id="11" name="Research Status"/>
    <tableColumn id="12" name="Source"/>
    <tableColumn id="13"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row>
    <row r="6" customFormat="false" ht="15" hidden="false" customHeight="true" outlineLevel="0" collapsed="false">
      <c r="A6" s="5" t="s">
        <v>4</v>
      </c>
    </row>
    <row r="7" customFormat="false" ht="15" hidden="false" customHeight="true" outlineLevel="0" collapsed="false">
      <c r="A7" s="5" t="s">
        <v>5</v>
      </c>
    </row>
    <row r="8" customFormat="false" ht="15" hidden="false" customHeight="true" outlineLevel="0" collapsed="false">
      <c r="A8" s="5" t="s">
        <v>6</v>
      </c>
    </row>
    <row r="9" customFormat="false" ht="15" hidden="false" customHeight="true" outlineLevel="0" collapsed="false">
      <c r="A9" s="5"/>
    </row>
    <row r="10" customFormat="false" ht="15" hidden="false" customHeight="true" outlineLevel="0" collapsed="false">
      <c r="A10" s="4" t="s">
        <v>7</v>
      </c>
    </row>
    <row r="11" customFormat="false" ht="15" hidden="false" customHeight="true" outlineLevel="0" collapsed="false">
      <c r="A11" s="5" t="s">
        <v>8</v>
      </c>
    </row>
    <row r="12" customFormat="false" ht="15" hidden="false" customHeight="true" outlineLevel="0" collapsed="false">
      <c r="A12" s="5" t="s">
        <v>9</v>
      </c>
    </row>
    <row r="13" customFormat="false" ht="15" hidden="false" customHeight="true" outlineLevel="0" collapsed="false">
      <c r="A13" s="5" t="s">
        <v>10</v>
      </c>
    </row>
    <row r="14" customFormat="false" ht="15" hidden="false" customHeight="true" outlineLevel="0" collapsed="false">
      <c r="A14" s="5" t="s">
        <v>11</v>
      </c>
    </row>
    <row r="15" customFormat="false" ht="15" hidden="false" customHeight="true" outlineLevel="0" collapsed="false">
      <c r="A15" s="5" t="s">
        <v>12</v>
      </c>
    </row>
    <row r="16" customFormat="false" ht="15" hidden="false" customHeight="true" outlineLevel="0" collapsed="false">
      <c r="A16" s="5" t="s">
        <v>13</v>
      </c>
    </row>
    <row r="17" customFormat="false" ht="15" hidden="false" customHeight="true" outlineLevel="0" collapsed="false">
      <c r="A17" s="5" t="s">
        <v>14</v>
      </c>
    </row>
    <row r="18" customFormat="false" ht="15" hidden="false" customHeight="true" outlineLevel="0" collapsed="false">
      <c r="A18" s="5"/>
    </row>
    <row r="19" customFormat="false" ht="15" hidden="false" customHeight="true" outlineLevel="0" collapsed="false">
      <c r="A19" s="4" t="s">
        <v>15</v>
      </c>
    </row>
    <row r="20" customFormat="false" ht="15" hidden="false" customHeight="true" outlineLevel="0" collapsed="false">
      <c r="A20" s="5" t="s">
        <v>16</v>
      </c>
    </row>
    <row r="21" customFormat="false" ht="15" hidden="false" customHeight="true" outlineLevel="0" collapsed="false">
      <c r="A21" s="5" t="s">
        <v>17</v>
      </c>
    </row>
    <row r="22" customFormat="false" ht="15" hidden="false" customHeight="true" outlineLevel="0" collapsed="false">
      <c r="A22" s="5" t="s">
        <v>18</v>
      </c>
    </row>
    <row r="23" customFormat="false" ht="15" hidden="false" customHeight="true" outlineLevel="0" collapsed="false">
      <c r="A23" s="5" t="s">
        <v>19</v>
      </c>
    </row>
    <row r="24" customFormat="false" ht="15" hidden="false" customHeight="true" outlineLevel="0" collapsed="false">
      <c r="A24" s="5" t="s">
        <v>20</v>
      </c>
    </row>
    <row r="25" customFormat="false" ht="15" hidden="false" customHeight="true" outlineLevel="0" collapsed="false">
      <c r="A25" s="5" t="s">
        <v>21</v>
      </c>
    </row>
    <row r="26" customFormat="false" ht="15" hidden="false" customHeight="true" outlineLevel="0" collapsed="false">
      <c r="A26" s="5" t="s">
        <v>22</v>
      </c>
    </row>
    <row r="27" customFormat="false" ht="15" hidden="false" customHeight="true" outlineLevel="0" collapsed="false">
      <c r="A27" s="5" t="s">
        <v>23</v>
      </c>
    </row>
    <row r="28" customFormat="false" ht="15" hidden="false" customHeight="true" outlineLevel="0" collapsed="false">
      <c r="A28" s="5"/>
    </row>
    <row r="29" customFormat="false" ht="15" hidden="false" customHeight="true" outlineLevel="0" collapsed="false">
      <c r="A29" s="4" t="s">
        <v>24</v>
      </c>
    </row>
    <row r="30" customFormat="false" ht="15" hidden="false" customHeight="true" outlineLevel="0" collapsed="false">
      <c r="A30" s="5" t="s">
        <v>25</v>
      </c>
    </row>
    <row r="31" customFormat="false" ht="15" hidden="false" customHeight="true" outlineLevel="0" collapsed="false">
      <c r="A31" s="5" t="s">
        <v>26</v>
      </c>
    </row>
    <row r="32" customFormat="false" ht="15" hidden="false" customHeight="true" outlineLevel="0" collapsed="false">
      <c r="A32" s="5" t="s">
        <v>27</v>
      </c>
    </row>
    <row r="33" customFormat="false" ht="15" hidden="false" customHeight="true" outlineLevel="0" collapsed="false">
      <c r="A33" s="5" t="s">
        <v>28</v>
      </c>
    </row>
    <row r="34" customFormat="false" ht="15" hidden="false" customHeight="true" outlineLevel="0" collapsed="false">
      <c r="A34"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2"/>
    <col collapsed="false" customWidth="true" hidden="false" outlineLevel="0" max="3" min="3" style="1" width="30"/>
    <col collapsed="false" customWidth="true" hidden="false" outlineLevel="0" max="5" min="4" style="1" width="10"/>
    <col collapsed="false" customWidth="true" hidden="false" outlineLevel="0" max="7" min="6" style="1" width="16"/>
    <col collapsed="false" customWidth="true" hidden="false" outlineLevel="0" max="9" min="8" style="1" width="22"/>
    <col collapsed="false" customWidth="true" hidden="false" outlineLevel="0" max="10" min="10" style="1" width="34"/>
    <col collapsed="false" customWidth="true" hidden="false" outlineLevel="0" max="11" min="11" style="1" width="14"/>
    <col collapsed="false" customWidth="true" hidden="false" outlineLevel="0" max="12" min="12" style="1" width="30"/>
    <col collapsed="false" customWidth="true" hidden="false" outlineLevel="0" max="13" min="13" style="1" width="40"/>
  </cols>
  <sheetData>
    <row r="1" customFormat="false" ht="30" hidden="false" customHeight="true" outlineLevel="0" collapsed="false">
      <c r="A1" s="6" t="s">
        <v>30</v>
      </c>
      <c r="B1" s="6" t="s">
        <v>31</v>
      </c>
      <c r="C1" s="6" t="s">
        <v>32</v>
      </c>
      <c r="D1" s="6" t="s">
        <v>33</v>
      </c>
      <c r="E1" s="6" t="s">
        <v>34</v>
      </c>
      <c r="F1" s="6" t="s">
        <v>35</v>
      </c>
      <c r="G1" s="6" t="s">
        <v>36</v>
      </c>
      <c r="H1" s="6" t="s">
        <v>37</v>
      </c>
      <c r="I1" s="6" t="s">
        <v>38</v>
      </c>
      <c r="J1" s="6" t="s">
        <v>39</v>
      </c>
      <c r="K1" s="6" t="s">
        <v>40</v>
      </c>
      <c r="L1" s="6" t="s">
        <v>41</v>
      </c>
      <c r="M1" s="6" t="s">
        <v>42</v>
      </c>
    </row>
    <row r="2" customFormat="false" ht="15" hidden="false" customHeight="true" outlineLevel="0" collapsed="false">
      <c r="A2" s="7" t="s">
        <v>43</v>
      </c>
      <c r="B2" s="7" t="s">
        <v>44</v>
      </c>
      <c r="C2" s="7" t="s">
        <v>45</v>
      </c>
      <c r="D2" s="7" t="s">
        <v>46</v>
      </c>
      <c r="E2" s="8" t="s">
        <v>47</v>
      </c>
      <c r="F2" s="7"/>
      <c r="G2" s="7"/>
      <c r="H2" s="7" t="s">
        <v>48</v>
      </c>
      <c r="I2" s="7"/>
      <c r="J2" s="7" t="s">
        <v>49</v>
      </c>
      <c r="K2" s="7" t="s">
        <v>50</v>
      </c>
      <c r="L2" s="7" t="s">
        <v>51</v>
      </c>
      <c r="M2" s="7" t="s">
        <v>52</v>
      </c>
    </row>
    <row r="3" customFormat="false" ht="15" hidden="false" customHeight="true" outlineLevel="0" collapsed="false">
      <c r="A3" s="7" t="s">
        <v>43</v>
      </c>
      <c r="B3" s="7" t="s">
        <v>53</v>
      </c>
      <c r="C3" s="7" t="s">
        <v>54</v>
      </c>
      <c r="D3" s="7" t="s">
        <v>46</v>
      </c>
      <c r="E3" s="9" t="s">
        <v>47</v>
      </c>
      <c r="F3" s="7"/>
      <c r="G3" s="7"/>
      <c r="H3" s="7" t="s">
        <v>55</v>
      </c>
      <c r="I3" s="7"/>
      <c r="J3" s="7" t="s">
        <v>56</v>
      </c>
      <c r="K3" s="7" t="s">
        <v>57</v>
      </c>
      <c r="L3" s="7" t="s">
        <v>58</v>
      </c>
      <c r="M3" s="7" t="s">
        <v>59</v>
      </c>
    </row>
    <row r="4" customFormat="false" ht="15" hidden="false" customHeight="true" outlineLevel="0" collapsed="false">
      <c r="A4" s="7" t="s">
        <v>43</v>
      </c>
      <c r="B4" s="7" t="s">
        <v>60</v>
      </c>
      <c r="C4" s="7" t="s">
        <v>61</v>
      </c>
      <c r="D4" s="7" t="s">
        <v>46</v>
      </c>
      <c r="E4" s="10" t="s">
        <v>62</v>
      </c>
      <c r="F4" s="7"/>
      <c r="G4" s="7"/>
      <c r="H4" s="7"/>
      <c r="I4" s="7"/>
      <c r="J4" s="7" t="s">
        <v>63</v>
      </c>
      <c r="K4" s="7" t="s">
        <v>64</v>
      </c>
      <c r="L4" s="7" t="s">
        <v>65</v>
      </c>
      <c r="M4" s="7" t="s">
        <v>66</v>
      </c>
    </row>
    <row r="5" customFormat="false" ht="15" hidden="false" customHeight="true" outlineLevel="0" collapsed="false">
      <c r="A5" s="7" t="s">
        <v>43</v>
      </c>
      <c r="B5" s="7" t="s">
        <v>60</v>
      </c>
      <c r="C5" s="7" t="s">
        <v>67</v>
      </c>
      <c r="D5" s="7" t="s">
        <v>46</v>
      </c>
      <c r="E5" s="8" t="s">
        <v>47</v>
      </c>
      <c r="F5" s="7"/>
      <c r="G5" s="7"/>
      <c r="H5" s="7"/>
      <c r="I5" s="7"/>
      <c r="J5" s="7" t="s">
        <v>63</v>
      </c>
      <c r="K5" s="7" t="s">
        <v>64</v>
      </c>
      <c r="L5" s="7" t="s">
        <v>65</v>
      </c>
      <c r="M5" s="7" t="s">
        <v>68</v>
      </c>
    </row>
    <row r="6" customFormat="false" ht="15" hidden="false" customHeight="true" outlineLevel="0" collapsed="false">
      <c r="A6" s="7" t="s">
        <v>43</v>
      </c>
      <c r="B6" s="7" t="s">
        <v>60</v>
      </c>
      <c r="C6" s="7" t="s">
        <v>69</v>
      </c>
      <c r="D6" s="7" t="s">
        <v>46</v>
      </c>
      <c r="E6" s="8" t="s">
        <v>47</v>
      </c>
      <c r="F6" s="7"/>
      <c r="G6" s="7"/>
      <c r="H6" s="7"/>
      <c r="I6" s="7"/>
      <c r="J6" s="7" t="s">
        <v>63</v>
      </c>
      <c r="K6" s="7" t="s">
        <v>64</v>
      </c>
      <c r="L6" s="7" t="s">
        <v>65</v>
      </c>
      <c r="M6" s="7" t="s">
        <v>68</v>
      </c>
    </row>
    <row r="7" customFormat="false" ht="15" hidden="false" customHeight="true" outlineLevel="0" collapsed="false">
      <c r="A7" s="7" t="s">
        <v>43</v>
      </c>
      <c r="B7" s="7" t="s">
        <v>60</v>
      </c>
      <c r="C7" s="7" t="s">
        <v>70</v>
      </c>
      <c r="D7" s="7" t="s">
        <v>46</v>
      </c>
      <c r="E7" s="9" t="s">
        <v>71</v>
      </c>
      <c r="F7" s="7"/>
      <c r="G7" s="7"/>
      <c r="H7" s="7"/>
      <c r="I7" s="7"/>
      <c r="J7" s="7" t="s">
        <v>63</v>
      </c>
      <c r="K7" s="7" t="s">
        <v>64</v>
      </c>
      <c r="L7" s="7" t="s">
        <v>65</v>
      </c>
      <c r="M7" s="7" t="s">
        <v>72</v>
      </c>
    </row>
    <row r="8" customFormat="false" ht="15" hidden="false" customHeight="true" outlineLevel="0" collapsed="false">
      <c r="A8" s="7" t="s">
        <v>43</v>
      </c>
      <c r="B8" s="7" t="s">
        <v>60</v>
      </c>
      <c r="C8" s="7" t="s">
        <v>73</v>
      </c>
      <c r="D8" s="7" t="s">
        <v>74</v>
      </c>
      <c r="E8" s="9" t="s">
        <v>71</v>
      </c>
      <c r="F8" s="7"/>
      <c r="G8" s="7"/>
      <c r="H8" s="7"/>
      <c r="I8" s="7"/>
      <c r="J8" s="7" t="s">
        <v>75</v>
      </c>
      <c r="K8" s="7" t="s">
        <v>64</v>
      </c>
      <c r="L8" s="7" t="s">
        <v>65</v>
      </c>
      <c r="M8" s="7" t="s">
        <v>72</v>
      </c>
    </row>
    <row r="9" customFormat="false" ht="15" hidden="false" customHeight="true" outlineLevel="0" collapsed="false">
      <c r="A9" s="7" t="s">
        <v>43</v>
      </c>
      <c r="B9" s="7" t="s">
        <v>60</v>
      </c>
      <c r="C9" s="7" t="s">
        <v>76</v>
      </c>
      <c r="D9" s="7" t="s">
        <v>46</v>
      </c>
      <c r="E9" s="9" t="s">
        <v>71</v>
      </c>
      <c r="F9" s="7"/>
      <c r="G9" s="7"/>
      <c r="H9" s="7"/>
      <c r="I9" s="7"/>
      <c r="J9" s="7" t="s">
        <v>63</v>
      </c>
      <c r="K9" s="7" t="s">
        <v>64</v>
      </c>
      <c r="L9" s="7" t="s">
        <v>65</v>
      </c>
      <c r="M9" s="7" t="s">
        <v>77</v>
      </c>
    </row>
    <row r="10" customFormat="false" ht="15" hidden="false" customHeight="true" outlineLevel="0" collapsed="false">
      <c r="A10" s="7" t="s">
        <v>43</v>
      </c>
      <c r="B10" s="7" t="s">
        <v>60</v>
      </c>
      <c r="C10" s="7" t="s">
        <v>78</v>
      </c>
      <c r="D10" s="7" t="s">
        <v>46</v>
      </c>
      <c r="E10" s="9" t="s">
        <v>71</v>
      </c>
      <c r="F10" s="7"/>
      <c r="G10" s="7"/>
      <c r="H10" s="7"/>
      <c r="I10" s="7"/>
      <c r="J10" s="7" t="s">
        <v>63</v>
      </c>
      <c r="K10" s="7" t="s">
        <v>64</v>
      </c>
      <c r="L10" s="7" t="s">
        <v>65</v>
      </c>
      <c r="M10" s="7" t="s">
        <v>79</v>
      </c>
    </row>
    <row r="11" customFormat="false" ht="15" hidden="false" customHeight="true" outlineLevel="0" collapsed="false">
      <c r="A11" s="7" t="s">
        <v>43</v>
      </c>
      <c r="B11" s="7" t="s">
        <v>60</v>
      </c>
      <c r="C11" s="7" t="s">
        <v>80</v>
      </c>
      <c r="D11" s="7" t="s">
        <v>46</v>
      </c>
      <c r="E11" s="9" t="s">
        <v>71</v>
      </c>
      <c r="F11" s="7"/>
      <c r="G11" s="7"/>
      <c r="H11" s="7"/>
      <c r="I11" s="7"/>
      <c r="J11" s="7" t="s">
        <v>63</v>
      </c>
      <c r="K11" s="7" t="s">
        <v>64</v>
      </c>
      <c r="L11" s="7" t="s">
        <v>65</v>
      </c>
      <c r="M11" s="7" t="s">
        <v>72</v>
      </c>
    </row>
    <row r="12" customFormat="false" ht="15" hidden="false" customHeight="true" outlineLevel="0" collapsed="false">
      <c r="A12" s="7" t="s">
        <v>43</v>
      </c>
      <c r="B12" s="7" t="s">
        <v>81</v>
      </c>
      <c r="C12" s="7" t="s">
        <v>82</v>
      </c>
      <c r="D12" s="7" t="s">
        <v>46</v>
      </c>
      <c r="E12" s="9" t="s">
        <v>71</v>
      </c>
      <c r="F12" s="7"/>
      <c r="G12" s="7"/>
      <c r="H12" s="7" t="s">
        <v>83</v>
      </c>
      <c r="I12" s="7"/>
      <c r="J12" s="7" t="s">
        <v>84</v>
      </c>
      <c r="K12" s="7" t="s">
        <v>85</v>
      </c>
      <c r="L12" s="7" t="s">
        <v>86</v>
      </c>
      <c r="M12" s="7" t="s">
        <v>87</v>
      </c>
    </row>
    <row r="13" customFormat="false" ht="15" hidden="false" customHeight="true" outlineLevel="0" collapsed="false">
      <c r="A13" s="7" t="s">
        <v>43</v>
      </c>
      <c r="B13" s="7" t="s">
        <v>81</v>
      </c>
      <c r="C13" s="7" t="s">
        <v>88</v>
      </c>
      <c r="D13" s="7" t="s">
        <v>46</v>
      </c>
      <c r="E13" s="9" t="s">
        <v>71</v>
      </c>
      <c r="F13" s="7"/>
      <c r="G13" s="7"/>
      <c r="H13" s="7" t="s">
        <v>89</v>
      </c>
      <c r="I13" s="7"/>
      <c r="J13" s="7" t="s">
        <v>84</v>
      </c>
      <c r="K13" s="7" t="s">
        <v>90</v>
      </c>
      <c r="L13" s="7" t="s">
        <v>91</v>
      </c>
      <c r="M13" s="7" t="s">
        <v>92</v>
      </c>
    </row>
    <row r="14" customFormat="false" ht="15" hidden="false" customHeight="true" outlineLevel="0" collapsed="false">
      <c r="A14" s="7" t="s">
        <v>43</v>
      </c>
      <c r="B14" s="7" t="s">
        <v>81</v>
      </c>
      <c r="C14" s="7" t="s">
        <v>93</v>
      </c>
      <c r="D14" s="7" t="s">
        <v>46</v>
      </c>
      <c r="E14" s="9" t="s">
        <v>71</v>
      </c>
      <c r="F14" s="7"/>
      <c r="G14" s="7"/>
      <c r="H14" s="7" t="s">
        <v>94</v>
      </c>
      <c r="I14" s="7"/>
      <c r="J14" s="7" t="s">
        <v>84</v>
      </c>
      <c r="K14" s="7" t="s">
        <v>95</v>
      </c>
      <c r="L14" s="7" t="s">
        <v>96</v>
      </c>
      <c r="M14" s="7" t="s">
        <v>97</v>
      </c>
    </row>
    <row r="15" customFormat="false" ht="15" hidden="false" customHeight="true" outlineLevel="0" collapsed="false">
      <c r="A15" s="7" t="s">
        <v>43</v>
      </c>
      <c r="B15" s="7" t="s">
        <v>81</v>
      </c>
      <c r="C15" s="7" t="s">
        <v>98</v>
      </c>
      <c r="D15" s="7" t="s">
        <v>46</v>
      </c>
      <c r="E15" s="9" t="s">
        <v>71</v>
      </c>
      <c r="F15" s="7"/>
      <c r="G15" s="7"/>
      <c r="H15" s="7" t="s">
        <v>83</v>
      </c>
      <c r="I15" s="7"/>
      <c r="J15" s="7" t="s">
        <v>84</v>
      </c>
      <c r="K15" s="7" t="s">
        <v>57</v>
      </c>
      <c r="L15" s="7" t="s">
        <v>99</v>
      </c>
      <c r="M15" s="7" t="s">
        <v>100</v>
      </c>
    </row>
    <row r="16" customFormat="false" ht="15" hidden="false" customHeight="true" outlineLevel="0" collapsed="false">
      <c r="A16" s="7" t="s">
        <v>43</v>
      </c>
      <c r="B16" s="7" t="s">
        <v>81</v>
      </c>
      <c r="C16" s="7" t="s">
        <v>101</v>
      </c>
      <c r="D16" s="7" t="s">
        <v>46</v>
      </c>
      <c r="E16" s="9" t="s">
        <v>71</v>
      </c>
      <c r="F16" s="7"/>
      <c r="G16" s="7"/>
      <c r="H16" s="7" t="s">
        <v>102</v>
      </c>
      <c r="I16" s="7"/>
      <c r="J16" s="7" t="s">
        <v>84</v>
      </c>
      <c r="K16" s="7" t="s">
        <v>57</v>
      </c>
      <c r="L16" s="7" t="s">
        <v>103</v>
      </c>
      <c r="M16" s="7" t="s">
        <v>104</v>
      </c>
    </row>
    <row r="17" customFormat="false" ht="15" hidden="false" customHeight="true" outlineLevel="0" collapsed="false">
      <c r="A17" s="7" t="s">
        <v>43</v>
      </c>
      <c r="B17" s="7" t="s">
        <v>81</v>
      </c>
      <c r="C17" s="7" t="s">
        <v>105</v>
      </c>
      <c r="D17" s="7" t="s">
        <v>46</v>
      </c>
      <c r="E17" s="9" t="s">
        <v>71</v>
      </c>
      <c r="F17" s="7"/>
      <c r="G17" s="7"/>
      <c r="H17" s="7" t="s">
        <v>106</v>
      </c>
      <c r="I17" s="7"/>
      <c r="J17" s="7" t="s">
        <v>84</v>
      </c>
      <c r="K17" s="7" t="s">
        <v>95</v>
      </c>
      <c r="L17" s="7" t="s">
        <v>96</v>
      </c>
      <c r="M17" s="7" t="s">
        <v>107</v>
      </c>
    </row>
    <row r="18" customFormat="false" ht="15" hidden="false" customHeight="true" outlineLevel="0" collapsed="false">
      <c r="A18" s="7" t="s">
        <v>43</v>
      </c>
      <c r="B18" s="7" t="s">
        <v>81</v>
      </c>
      <c r="C18" s="7" t="s">
        <v>108</v>
      </c>
      <c r="D18" s="7" t="s">
        <v>46</v>
      </c>
      <c r="E18" s="9" t="s">
        <v>71</v>
      </c>
      <c r="F18" s="7"/>
      <c r="G18" s="7"/>
      <c r="H18" s="7" t="s">
        <v>109</v>
      </c>
      <c r="I18" s="7"/>
      <c r="J18" s="7" t="s">
        <v>84</v>
      </c>
      <c r="K18" s="7" t="s">
        <v>57</v>
      </c>
      <c r="L18" s="7" t="s">
        <v>110</v>
      </c>
      <c r="M18" s="7" t="s">
        <v>100</v>
      </c>
    </row>
    <row r="19" customFormat="false" ht="15" hidden="false" customHeight="true" outlineLevel="0" collapsed="false">
      <c r="A19" s="7" t="s">
        <v>43</v>
      </c>
      <c r="B19" s="7" t="s">
        <v>81</v>
      </c>
      <c r="C19" s="7" t="s">
        <v>111</v>
      </c>
      <c r="D19" s="7" t="s">
        <v>46</v>
      </c>
      <c r="E19" s="9" t="s">
        <v>71</v>
      </c>
      <c r="F19" s="7"/>
      <c r="G19" s="7"/>
      <c r="H19" s="7"/>
      <c r="I19" s="7"/>
      <c r="J19" s="7" t="s">
        <v>84</v>
      </c>
      <c r="K19" s="7" t="s">
        <v>112</v>
      </c>
      <c r="L19" s="7" t="s">
        <v>65</v>
      </c>
      <c r="M19" s="7" t="s">
        <v>113</v>
      </c>
    </row>
    <row r="20" customFormat="false" ht="15" hidden="false" customHeight="true" outlineLevel="0" collapsed="false">
      <c r="A20" s="7" t="s">
        <v>43</v>
      </c>
      <c r="B20" s="7" t="s">
        <v>81</v>
      </c>
      <c r="C20" s="7" t="s">
        <v>114</v>
      </c>
      <c r="D20" s="7" t="s">
        <v>46</v>
      </c>
      <c r="E20" s="9" t="s">
        <v>71</v>
      </c>
      <c r="F20" s="7"/>
      <c r="G20" s="7"/>
      <c r="H20" s="7" t="s">
        <v>115</v>
      </c>
      <c r="I20" s="7"/>
      <c r="J20" s="7" t="s">
        <v>84</v>
      </c>
      <c r="K20" s="7" t="s">
        <v>57</v>
      </c>
      <c r="L20" s="7" t="s">
        <v>116</v>
      </c>
      <c r="M20" s="7" t="s">
        <v>100</v>
      </c>
    </row>
    <row r="21" customFormat="false" ht="15" hidden="false" customHeight="true" outlineLevel="0" collapsed="false">
      <c r="A21" s="7" t="s">
        <v>43</v>
      </c>
      <c r="B21" s="7" t="s">
        <v>117</v>
      </c>
      <c r="C21" s="7" t="s">
        <v>118</v>
      </c>
      <c r="D21" s="7" t="s">
        <v>46</v>
      </c>
      <c r="E21" s="10" t="s">
        <v>62</v>
      </c>
      <c r="F21" s="7"/>
      <c r="G21" s="7"/>
      <c r="H21" s="7" t="s">
        <v>119</v>
      </c>
      <c r="I21" s="7"/>
      <c r="J21" s="7" t="s">
        <v>120</v>
      </c>
      <c r="K21" s="7" t="s">
        <v>57</v>
      </c>
      <c r="L21" s="7" t="s">
        <v>121</v>
      </c>
      <c r="M21" s="7" t="s">
        <v>122</v>
      </c>
    </row>
    <row r="22" customFormat="false" ht="15" hidden="false" customHeight="true" outlineLevel="0" collapsed="false">
      <c r="A22" s="7" t="s">
        <v>43</v>
      </c>
      <c r="B22" s="7" t="s">
        <v>123</v>
      </c>
      <c r="C22" s="7" t="s">
        <v>124</v>
      </c>
      <c r="D22" s="7" t="s">
        <v>46</v>
      </c>
      <c r="E22" s="10" t="s">
        <v>125</v>
      </c>
      <c r="F22" s="7"/>
      <c r="G22" s="7"/>
      <c r="H22" s="7"/>
      <c r="I22" s="7"/>
      <c r="J22" s="7" t="s">
        <v>126</v>
      </c>
      <c r="K22" s="7" t="s">
        <v>127</v>
      </c>
      <c r="L22" s="7" t="s">
        <v>128</v>
      </c>
      <c r="M22" s="7" t="s">
        <v>129</v>
      </c>
    </row>
    <row r="23" customFormat="false" ht="15" hidden="false" customHeight="true" outlineLevel="0" collapsed="false">
      <c r="A23" s="7" t="s">
        <v>43</v>
      </c>
      <c r="B23" s="7" t="s">
        <v>123</v>
      </c>
      <c r="C23" s="7" t="s">
        <v>130</v>
      </c>
      <c r="D23" s="7" t="s">
        <v>46</v>
      </c>
      <c r="E23" s="10" t="s">
        <v>47</v>
      </c>
      <c r="F23" s="7"/>
      <c r="G23" s="7"/>
      <c r="H23" s="7" t="s">
        <v>131</v>
      </c>
      <c r="I23" s="7"/>
      <c r="J23" s="7" t="s">
        <v>126</v>
      </c>
      <c r="K23" s="7" t="s">
        <v>57</v>
      </c>
      <c r="L23" s="7" t="s">
        <v>132</v>
      </c>
      <c r="M23" s="7" t="s">
        <v>133</v>
      </c>
    </row>
    <row r="24" customFormat="false" ht="15" hidden="false" customHeight="true" outlineLevel="0" collapsed="false">
      <c r="A24" s="7" t="s">
        <v>43</v>
      </c>
      <c r="B24" s="7" t="s">
        <v>123</v>
      </c>
      <c r="C24" s="7" t="s">
        <v>134</v>
      </c>
      <c r="D24" s="7" t="s">
        <v>74</v>
      </c>
      <c r="E24" s="10" t="s">
        <v>47</v>
      </c>
      <c r="F24" s="7"/>
      <c r="G24" s="7"/>
      <c r="H24" s="7" t="s">
        <v>135</v>
      </c>
      <c r="I24" s="7"/>
      <c r="J24" s="7" t="s">
        <v>136</v>
      </c>
      <c r="K24" s="7" t="s">
        <v>57</v>
      </c>
      <c r="L24" s="7" t="s">
        <v>137</v>
      </c>
      <c r="M24" s="7" t="s">
        <v>138</v>
      </c>
    </row>
    <row r="25" customFormat="false" ht="15" hidden="false" customHeight="true" outlineLevel="0" collapsed="false">
      <c r="A25" s="7" t="s">
        <v>43</v>
      </c>
      <c r="B25" s="7" t="s">
        <v>123</v>
      </c>
      <c r="C25" s="7" t="s">
        <v>139</v>
      </c>
      <c r="D25" s="7" t="s">
        <v>46</v>
      </c>
      <c r="E25" s="9" t="s">
        <v>71</v>
      </c>
      <c r="F25" s="7"/>
      <c r="G25" s="7"/>
      <c r="H25" s="7" t="s">
        <v>140</v>
      </c>
      <c r="I25" s="7"/>
      <c r="J25" s="7" t="s">
        <v>126</v>
      </c>
      <c r="K25" s="7" t="s">
        <v>57</v>
      </c>
      <c r="L25" s="7" t="s">
        <v>141</v>
      </c>
      <c r="M25" s="7" t="s">
        <v>142</v>
      </c>
    </row>
    <row r="26" customFormat="false" ht="15" hidden="false" customHeight="true" outlineLevel="0" collapsed="false">
      <c r="A26" s="7" t="s">
        <v>43</v>
      </c>
      <c r="B26" s="7" t="s">
        <v>123</v>
      </c>
      <c r="C26" s="7" t="s">
        <v>143</v>
      </c>
      <c r="D26" s="7" t="s">
        <v>74</v>
      </c>
      <c r="E26" s="10" t="s">
        <v>125</v>
      </c>
      <c r="F26" s="7"/>
      <c r="G26" s="7"/>
      <c r="H26" s="7"/>
      <c r="I26" s="7"/>
      <c r="J26" s="7" t="s">
        <v>136</v>
      </c>
      <c r="K26" s="7" t="s">
        <v>127</v>
      </c>
      <c r="L26" s="7" t="s">
        <v>144</v>
      </c>
      <c r="M26" s="7" t="s">
        <v>145</v>
      </c>
    </row>
    <row r="27" customFormat="false" ht="15" hidden="false" customHeight="true" outlineLevel="0" collapsed="false">
      <c r="A27" s="7" t="s">
        <v>43</v>
      </c>
      <c r="B27" s="7" t="s">
        <v>146</v>
      </c>
      <c r="C27" s="7" t="s">
        <v>147</v>
      </c>
      <c r="D27" s="7" t="s">
        <v>46</v>
      </c>
      <c r="E27" s="10" t="s">
        <v>62</v>
      </c>
      <c r="F27" s="7"/>
      <c r="G27" s="7"/>
      <c r="H27" s="7" t="s">
        <v>148</v>
      </c>
      <c r="I27" s="7"/>
      <c r="J27" s="7" t="s">
        <v>149</v>
      </c>
      <c r="K27" s="7" t="s">
        <v>57</v>
      </c>
      <c r="L27" s="7" t="s">
        <v>150</v>
      </c>
      <c r="M27" s="7" t="s">
        <v>151</v>
      </c>
    </row>
    <row r="28" customFormat="false" ht="15" hidden="false" customHeight="true" outlineLevel="0" collapsed="false">
      <c r="A28" s="7" t="s">
        <v>43</v>
      </c>
      <c r="B28" s="7" t="s">
        <v>152</v>
      </c>
      <c r="C28" s="7" t="s">
        <v>153</v>
      </c>
      <c r="D28" s="7" t="s">
        <v>46</v>
      </c>
      <c r="E28" s="9" t="s">
        <v>71</v>
      </c>
      <c r="F28" s="7"/>
      <c r="G28" s="7"/>
      <c r="H28" s="7" t="s">
        <v>154</v>
      </c>
      <c r="I28" s="7" t="s">
        <v>155</v>
      </c>
      <c r="J28" s="7" t="s">
        <v>156</v>
      </c>
      <c r="K28" s="7" t="s">
        <v>57</v>
      </c>
      <c r="L28" s="7" t="s">
        <v>157</v>
      </c>
      <c r="M28" s="7" t="s">
        <v>158</v>
      </c>
    </row>
    <row r="29" customFormat="false" ht="15" hidden="false" customHeight="true" outlineLevel="0" collapsed="false">
      <c r="A29" s="7" t="s">
        <v>43</v>
      </c>
      <c r="B29" s="7" t="s">
        <v>159</v>
      </c>
      <c r="C29" s="7" t="s">
        <v>160</v>
      </c>
      <c r="D29" s="7" t="s">
        <v>46</v>
      </c>
      <c r="E29" s="9" t="s">
        <v>71</v>
      </c>
      <c r="F29" s="7"/>
      <c r="G29" s="7"/>
      <c r="H29" s="7" t="s">
        <v>161</v>
      </c>
      <c r="I29" s="7"/>
      <c r="J29" s="7" t="s">
        <v>162</v>
      </c>
      <c r="K29" s="7" t="s">
        <v>163</v>
      </c>
      <c r="L29" s="7" t="s">
        <v>164</v>
      </c>
      <c r="M29" s="7" t="s">
        <v>165</v>
      </c>
    </row>
    <row r="30" customFormat="false" ht="15" hidden="false" customHeight="true" outlineLevel="0" collapsed="false">
      <c r="A30" s="7" t="s">
        <v>43</v>
      </c>
      <c r="B30" s="7" t="s">
        <v>159</v>
      </c>
      <c r="C30" s="7" t="s">
        <v>166</v>
      </c>
      <c r="D30" s="7" t="s">
        <v>46</v>
      </c>
      <c r="E30" s="9" t="s">
        <v>71</v>
      </c>
      <c r="F30" s="7"/>
      <c r="G30" s="7"/>
      <c r="H30" s="7" t="s">
        <v>167</v>
      </c>
      <c r="I30" s="7"/>
      <c r="J30" s="7" t="s">
        <v>162</v>
      </c>
      <c r="K30" s="7" t="s">
        <v>57</v>
      </c>
      <c r="L30" s="7" t="s">
        <v>164</v>
      </c>
      <c r="M30" s="7" t="s">
        <v>168</v>
      </c>
    </row>
    <row r="31" customFormat="false" ht="15" hidden="false" customHeight="true" outlineLevel="0" collapsed="false">
      <c r="A31" s="7" t="s">
        <v>43</v>
      </c>
      <c r="B31" s="7" t="s">
        <v>159</v>
      </c>
      <c r="C31" s="7" t="s">
        <v>169</v>
      </c>
      <c r="D31" s="7" t="s">
        <v>46</v>
      </c>
      <c r="E31" s="9" t="s">
        <v>71</v>
      </c>
      <c r="F31" s="7"/>
      <c r="G31" s="7"/>
      <c r="H31" s="7" t="s">
        <v>170</v>
      </c>
      <c r="I31" s="7"/>
      <c r="J31" s="7" t="s">
        <v>162</v>
      </c>
      <c r="K31" s="7" t="s">
        <v>57</v>
      </c>
      <c r="L31" s="7" t="s">
        <v>171</v>
      </c>
      <c r="M31" s="7" t="s">
        <v>172</v>
      </c>
    </row>
    <row r="32" customFormat="false" ht="15" hidden="false" customHeight="true" outlineLevel="0" collapsed="false">
      <c r="A32" s="7" t="s">
        <v>43</v>
      </c>
      <c r="B32" s="7" t="s">
        <v>159</v>
      </c>
      <c r="C32" s="7" t="s">
        <v>173</v>
      </c>
      <c r="D32" s="7" t="s">
        <v>46</v>
      </c>
      <c r="E32" s="9" t="s">
        <v>47</v>
      </c>
      <c r="F32" s="7"/>
      <c r="G32" s="7"/>
      <c r="H32" s="7"/>
      <c r="I32" s="7"/>
      <c r="J32" s="7" t="s">
        <v>162</v>
      </c>
      <c r="K32" s="7" t="s">
        <v>112</v>
      </c>
      <c r="L32" s="7" t="s">
        <v>174</v>
      </c>
      <c r="M32" s="7" t="s">
        <v>175</v>
      </c>
    </row>
    <row r="33" customFormat="false" ht="15" hidden="false" customHeight="true" outlineLevel="0" collapsed="false">
      <c r="A33" s="7" t="s">
        <v>43</v>
      </c>
      <c r="B33" s="7" t="s">
        <v>176</v>
      </c>
      <c r="C33" s="7" t="s">
        <v>177</v>
      </c>
      <c r="D33" s="7" t="s">
        <v>46</v>
      </c>
      <c r="E33" s="8" t="s">
        <v>62</v>
      </c>
      <c r="F33" s="7"/>
      <c r="G33" s="7"/>
      <c r="H33" s="7"/>
      <c r="I33" s="7"/>
      <c r="J33" s="7" t="s">
        <v>178</v>
      </c>
      <c r="K33" s="7" t="s">
        <v>112</v>
      </c>
      <c r="L33" s="7" t="s">
        <v>179</v>
      </c>
      <c r="M33" s="7" t="s">
        <v>180</v>
      </c>
    </row>
    <row r="34" customFormat="false" ht="15" hidden="false" customHeight="true" outlineLevel="0" collapsed="false">
      <c r="A34" s="7" t="s">
        <v>43</v>
      </c>
      <c r="B34" s="7" t="s">
        <v>181</v>
      </c>
      <c r="C34" s="7" t="s">
        <v>182</v>
      </c>
      <c r="D34" s="7" t="s">
        <v>46</v>
      </c>
      <c r="E34" s="9" t="s">
        <v>71</v>
      </c>
      <c r="F34" s="7"/>
      <c r="G34" s="7"/>
      <c r="H34" s="7" t="s">
        <v>183</v>
      </c>
      <c r="I34" s="7"/>
      <c r="J34" s="7" t="s">
        <v>184</v>
      </c>
      <c r="K34" s="7" t="s">
        <v>185</v>
      </c>
      <c r="L34" s="7" t="s">
        <v>186</v>
      </c>
      <c r="M34" s="7" t="s">
        <v>187</v>
      </c>
    </row>
    <row r="35" customFormat="false" ht="15" hidden="false" customHeight="true" outlineLevel="0" collapsed="false">
      <c r="A35" s="7" t="s">
        <v>43</v>
      </c>
      <c r="B35" s="7" t="s">
        <v>188</v>
      </c>
      <c r="C35" s="7" t="s">
        <v>189</v>
      </c>
      <c r="D35" s="7" t="s">
        <v>46</v>
      </c>
      <c r="E35" s="9" t="s">
        <v>71</v>
      </c>
      <c r="F35" s="7"/>
      <c r="G35" s="7"/>
      <c r="H35" s="7" t="s">
        <v>190</v>
      </c>
      <c r="I35" s="7"/>
      <c r="J35" s="7" t="s">
        <v>191</v>
      </c>
      <c r="K35" s="7" t="s">
        <v>90</v>
      </c>
      <c r="L35" s="7" t="s">
        <v>192</v>
      </c>
      <c r="M35" s="7" t="s">
        <v>193</v>
      </c>
    </row>
    <row r="36" customFormat="false" ht="15" hidden="false" customHeight="true" outlineLevel="0" collapsed="false">
      <c r="A36" s="7" t="s">
        <v>43</v>
      </c>
      <c r="B36" s="7" t="s">
        <v>194</v>
      </c>
      <c r="C36" s="7" t="s">
        <v>195</v>
      </c>
      <c r="D36" s="7" t="s">
        <v>46</v>
      </c>
      <c r="E36" s="9" t="s">
        <v>47</v>
      </c>
      <c r="F36" s="7"/>
      <c r="G36" s="7"/>
      <c r="H36" s="7" t="s">
        <v>196</v>
      </c>
      <c r="I36" s="7"/>
      <c r="J36" s="7" t="s">
        <v>197</v>
      </c>
      <c r="K36" s="7" t="s">
        <v>57</v>
      </c>
      <c r="L36" s="7" t="s">
        <v>198</v>
      </c>
      <c r="M36" s="7" t="s">
        <v>199</v>
      </c>
    </row>
    <row r="37" customFormat="false" ht="15" hidden="false" customHeight="true" outlineLevel="0" collapsed="false">
      <c r="A37" s="7" t="s">
        <v>43</v>
      </c>
      <c r="B37" s="7" t="s">
        <v>194</v>
      </c>
      <c r="C37" s="7" t="s">
        <v>200</v>
      </c>
      <c r="D37" s="7" t="s">
        <v>46</v>
      </c>
      <c r="E37" s="10" t="s">
        <v>201</v>
      </c>
      <c r="F37" s="7"/>
      <c r="G37" s="7"/>
      <c r="H37" s="7" t="s">
        <v>202</v>
      </c>
      <c r="I37" s="7"/>
      <c r="J37" s="7" t="s">
        <v>197</v>
      </c>
      <c r="K37" s="7" t="s">
        <v>57</v>
      </c>
      <c r="L37" s="7" t="s">
        <v>198</v>
      </c>
      <c r="M37" s="7" t="s">
        <v>203</v>
      </c>
    </row>
    <row r="38" customFormat="false" ht="15" hidden="false" customHeight="true" outlineLevel="0" collapsed="false">
      <c r="A38" s="7" t="s">
        <v>43</v>
      </c>
      <c r="B38" s="7" t="s">
        <v>194</v>
      </c>
      <c r="C38" s="7" t="s">
        <v>204</v>
      </c>
      <c r="D38" s="7" t="s">
        <v>46</v>
      </c>
      <c r="E38" s="9" t="s">
        <v>71</v>
      </c>
      <c r="F38" s="7"/>
      <c r="G38" s="7"/>
      <c r="H38" s="7" t="s">
        <v>205</v>
      </c>
      <c r="I38" s="7"/>
      <c r="J38" s="7" t="s">
        <v>197</v>
      </c>
      <c r="K38" s="7" t="s">
        <v>57</v>
      </c>
      <c r="L38" s="7" t="s">
        <v>198</v>
      </c>
      <c r="M38" s="7" t="s">
        <v>206</v>
      </c>
    </row>
    <row r="39" customFormat="false" ht="15" hidden="false" customHeight="true" outlineLevel="0" collapsed="false">
      <c r="A39" s="7" t="s">
        <v>43</v>
      </c>
      <c r="B39" s="7" t="s">
        <v>207</v>
      </c>
      <c r="C39" s="7" t="s">
        <v>208</v>
      </c>
      <c r="D39" s="7" t="s">
        <v>46</v>
      </c>
      <c r="E39" s="8" t="s">
        <v>71</v>
      </c>
      <c r="F39" s="7"/>
      <c r="G39" s="7"/>
      <c r="H39" s="7"/>
      <c r="I39" s="7"/>
      <c r="J39" s="7" t="s">
        <v>209</v>
      </c>
      <c r="K39" s="7" t="s">
        <v>210</v>
      </c>
      <c r="L39" s="7" t="s">
        <v>211</v>
      </c>
      <c r="M39" s="7" t="s">
        <v>212</v>
      </c>
    </row>
    <row r="40" customFormat="false" ht="15" hidden="false" customHeight="true" outlineLevel="0" collapsed="false">
      <c r="A40" s="7" t="s">
        <v>43</v>
      </c>
      <c r="B40" s="7" t="s">
        <v>213</v>
      </c>
      <c r="C40" s="7" t="s">
        <v>214</v>
      </c>
      <c r="D40" s="7" t="s">
        <v>46</v>
      </c>
      <c r="E40" s="8" t="s">
        <v>62</v>
      </c>
      <c r="F40" s="7"/>
      <c r="G40" s="7"/>
      <c r="H40" s="7"/>
      <c r="I40" s="7"/>
      <c r="J40" s="7" t="s">
        <v>215</v>
      </c>
      <c r="K40" s="7" t="s">
        <v>90</v>
      </c>
      <c r="L40" s="7" t="s">
        <v>216</v>
      </c>
      <c r="M40" s="7" t="s">
        <v>217</v>
      </c>
    </row>
    <row r="41" customFormat="false" ht="15" hidden="false" customHeight="true" outlineLevel="0" collapsed="false">
      <c r="A41" s="7" t="s">
        <v>43</v>
      </c>
      <c r="B41" s="7" t="s">
        <v>213</v>
      </c>
      <c r="C41" s="7" t="s">
        <v>218</v>
      </c>
      <c r="D41" s="7" t="s">
        <v>46</v>
      </c>
      <c r="E41" s="8" t="s">
        <v>71</v>
      </c>
      <c r="F41" s="7"/>
      <c r="G41" s="7"/>
      <c r="H41" s="7"/>
      <c r="I41" s="7"/>
      <c r="J41" s="7" t="s">
        <v>215</v>
      </c>
      <c r="K41" s="7" t="s">
        <v>90</v>
      </c>
      <c r="L41" s="7" t="s">
        <v>219</v>
      </c>
      <c r="M41" s="7" t="s">
        <v>220</v>
      </c>
    </row>
    <row r="42" customFormat="false" ht="15" hidden="false" customHeight="true" outlineLevel="0" collapsed="false">
      <c r="A42" s="7" t="s">
        <v>43</v>
      </c>
      <c r="B42" s="7" t="s">
        <v>213</v>
      </c>
      <c r="C42" s="7" t="s">
        <v>221</v>
      </c>
      <c r="D42" s="7" t="s">
        <v>46</v>
      </c>
      <c r="E42" s="8" t="s">
        <v>71</v>
      </c>
      <c r="F42" s="7"/>
      <c r="G42" s="7"/>
      <c r="H42" s="7"/>
      <c r="I42" s="7"/>
      <c r="J42" s="7" t="s">
        <v>215</v>
      </c>
      <c r="K42" s="7" t="s">
        <v>90</v>
      </c>
      <c r="L42" s="7" t="s">
        <v>219</v>
      </c>
      <c r="M42" s="7" t="s">
        <v>222</v>
      </c>
    </row>
    <row r="43" customFormat="false" ht="15" hidden="false" customHeight="true" outlineLevel="0" collapsed="false">
      <c r="A43" s="7" t="s">
        <v>43</v>
      </c>
      <c r="B43" s="7" t="s">
        <v>223</v>
      </c>
      <c r="C43" s="7" t="s">
        <v>224</v>
      </c>
      <c r="D43" s="7" t="s">
        <v>46</v>
      </c>
      <c r="E43" s="9" t="s">
        <v>201</v>
      </c>
      <c r="F43" s="7"/>
      <c r="G43" s="7"/>
      <c r="H43" s="7"/>
      <c r="I43" s="7"/>
      <c r="J43" s="7" t="s">
        <v>225</v>
      </c>
      <c r="K43" s="7" t="s">
        <v>112</v>
      </c>
      <c r="L43" s="7" t="s">
        <v>226</v>
      </c>
      <c r="M43" s="7" t="s">
        <v>227</v>
      </c>
    </row>
    <row r="44" customFormat="false" ht="15" hidden="false" customHeight="true" outlineLevel="0" collapsed="false">
      <c r="A44" s="7" t="s">
        <v>43</v>
      </c>
      <c r="B44" s="7" t="s">
        <v>223</v>
      </c>
      <c r="C44" s="7" t="s">
        <v>228</v>
      </c>
      <c r="D44" s="7" t="s">
        <v>46</v>
      </c>
      <c r="E44" s="9" t="s">
        <v>201</v>
      </c>
      <c r="F44" s="7"/>
      <c r="G44" s="7"/>
      <c r="H44" s="7"/>
      <c r="I44" s="7"/>
      <c r="J44" s="7" t="s">
        <v>225</v>
      </c>
      <c r="K44" s="7" t="s">
        <v>112</v>
      </c>
      <c r="L44" s="7" t="s">
        <v>229</v>
      </c>
      <c r="M44" s="7" t="s">
        <v>230</v>
      </c>
    </row>
    <row r="45" customFormat="false" ht="15" hidden="false" customHeight="true" outlineLevel="0" collapsed="false">
      <c r="A45" s="7" t="s">
        <v>43</v>
      </c>
      <c r="B45" s="7" t="s">
        <v>231</v>
      </c>
      <c r="C45" s="7" t="s">
        <v>232</v>
      </c>
      <c r="D45" s="7" t="s">
        <v>46</v>
      </c>
      <c r="E45" s="10" t="s">
        <v>62</v>
      </c>
      <c r="F45" s="7"/>
      <c r="G45" s="7"/>
      <c r="H45" s="7"/>
      <c r="I45" s="7"/>
      <c r="J45" s="7" t="s">
        <v>233</v>
      </c>
      <c r="K45" s="7" t="s">
        <v>90</v>
      </c>
      <c r="L45" s="7" t="s">
        <v>65</v>
      </c>
      <c r="M45" s="7" t="s">
        <v>234</v>
      </c>
    </row>
    <row r="46" customFormat="false" ht="15" hidden="false" customHeight="true" outlineLevel="0" collapsed="false">
      <c r="A46" s="7" t="s">
        <v>43</v>
      </c>
      <c r="B46" s="7" t="s">
        <v>231</v>
      </c>
      <c r="C46" s="7" t="s">
        <v>235</v>
      </c>
      <c r="D46" s="7" t="s">
        <v>46</v>
      </c>
      <c r="E46" s="10" t="s">
        <v>62</v>
      </c>
      <c r="F46" s="7"/>
      <c r="G46" s="7"/>
      <c r="H46" s="7" t="s">
        <v>236</v>
      </c>
      <c r="I46" s="7"/>
      <c r="J46" s="7" t="s">
        <v>233</v>
      </c>
      <c r="K46" s="7" t="s">
        <v>57</v>
      </c>
      <c r="L46" s="7" t="s">
        <v>237</v>
      </c>
      <c r="M46" s="7" t="s">
        <v>238</v>
      </c>
    </row>
    <row r="47" customFormat="false" ht="15" hidden="false" customHeight="true" outlineLevel="0" collapsed="false">
      <c r="A47" s="7" t="s">
        <v>43</v>
      </c>
      <c r="B47" s="7" t="s">
        <v>231</v>
      </c>
      <c r="C47" s="7" t="s">
        <v>239</v>
      </c>
      <c r="D47" s="7" t="s">
        <v>46</v>
      </c>
      <c r="E47" s="9" t="s">
        <v>71</v>
      </c>
      <c r="F47" s="7"/>
      <c r="G47" s="7"/>
      <c r="H47" s="7" t="s">
        <v>240</v>
      </c>
      <c r="I47" s="7"/>
      <c r="J47" s="7" t="s">
        <v>233</v>
      </c>
      <c r="K47" s="7" t="s">
        <v>57</v>
      </c>
      <c r="L47" s="7" t="s">
        <v>241</v>
      </c>
      <c r="M47" s="7" t="s">
        <v>242</v>
      </c>
    </row>
    <row r="48" customFormat="false" ht="15" hidden="false" customHeight="true" outlineLevel="0" collapsed="false">
      <c r="A48" s="7" t="s">
        <v>43</v>
      </c>
      <c r="B48" s="7" t="s">
        <v>231</v>
      </c>
      <c r="C48" s="7" t="s">
        <v>243</v>
      </c>
      <c r="D48" s="7" t="s">
        <v>46</v>
      </c>
      <c r="E48" s="10" t="s">
        <v>62</v>
      </c>
      <c r="F48" s="7"/>
      <c r="G48" s="7"/>
      <c r="H48" s="7" t="s">
        <v>244</v>
      </c>
      <c r="I48" s="7"/>
      <c r="J48" s="7" t="s">
        <v>233</v>
      </c>
      <c r="K48" s="7" t="s">
        <v>57</v>
      </c>
      <c r="L48" s="7" t="s">
        <v>245</v>
      </c>
      <c r="M48" s="7" t="s">
        <v>246</v>
      </c>
    </row>
    <row r="49" customFormat="false" ht="15" hidden="false" customHeight="true" outlineLevel="0" collapsed="false">
      <c r="A49" s="7" t="s">
        <v>43</v>
      </c>
      <c r="B49" s="7" t="s">
        <v>231</v>
      </c>
      <c r="C49" s="7" t="s">
        <v>247</v>
      </c>
      <c r="D49" s="7" t="s">
        <v>46</v>
      </c>
      <c r="E49" s="9" t="s">
        <v>71</v>
      </c>
      <c r="F49" s="7"/>
      <c r="G49" s="7"/>
      <c r="H49" s="7" t="s">
        <v>248</v>
      </c>
      <c r="I49" s="7"/>
      <c r="J49" s="7" t="s">
        <v>233</v>
      </c>
      <c r="K49" s="7" t="s">
        <v>95</v>
      </c>
      <c r="L49" s="7" t="s">
        <v>249</v>
      </c>
      <c r="M49" s="7" t="s">
        <v>250</v>
      </c>
    </row>
    <row r="50" customFormat="false" ht="15" hidden="false" customHeight="true" outlineLevel="0" collapsed="false">
      <c r="A50" s="7" t="s">
        <v>43</v>
      </c>
      <c r="B50" s="7" t="s">
        <v>251</v>
      </c>
      <c r="C50" s="7" t="s">
        <v>252</v>
      </c>
      <c r="D50" s="7" t="s">
        <v>46</v>
      </c>
      <c r="E50" s="9" t="s">
        <v>71</v>
      </c>
      <c r="F50" s="7"/>
      <c r="G50" s="7"/>
      <c r="H50" s="7" t="s">
        <v>253</v>
      </c>
      <c r="I50" s="7"/>
      <c r="J50" s="7" t="s">
        <v>254</v>
      </c>
      <c r="K50" s="7" t="s">
        <v>57</v>
      </c>
      <c r="L50" s="7" t="s">
        <v>255</v>
      </c>
      <c r="M50" s="7" t="s">
        <v>256</v>
      </c>
    </row>
    <row r="51" customFormat="false" ht="15" hidden="false" customHeight="true" outlineLevel="0" collapsed="false">
      <c r="A51" s="7" t="s">
        <v>43</v>
      </c>
      <c r="B51" s="7" t="s">
        <v>257</v>
      </c>
      <c r="C51" s="7" t="s">
        <v>258</v>
      </c>
      <c r="D51" s="7" t="s">
        <v>46</v>
      </c>
      <c r="E51" s="10" t="s">
        <v>62</v>
      </c>
      <c r="F51" s="7"/>
      <c r="G51" s="7"/>
      <c r="H51" s="7" t="s">
        <v>259</v>
      </c>
      <c r="I51" s="7"/>
      <c r="J51" s="7" t="s">
        <v>260</v>
      </c>
      <c r="K51" s="7" t="s">
        <v>57</v>
      </c>
      <c r="L51" s="7" t="s">
        <v>261</v>
      </c>
      <c r="M51" s="7" t="s">
        <v>262</v>
      </c>
    </row>
    <row r="52" customFormat="false" ht="15" hidden="false" customHeight="true" outlineLevel="0" collapsed="false">
      <c r="A52" s="7" t="s">
        <v>43</v>
      </c>
      <c r="B52" s="7" t="s">
        <v>257</v>
      </c>
      <c r="C52" s="7" t="s">
        <v>263</v>
      </c>
      <c r="D52" s="7" t="s">
        <v>46</v>
      </c>
      <c r="E52" s="9" t="s">
        <v>71</v>
      </c>
      <c r="F52" s="7"/>
      <c r="G52" s="7"/>
      <c r="H52" s="7" t="s">
        <v>264</v>
      </c>
      <c r="I52" s="7"/>
      <c r="J52" s="7" t="s">
        <v>260</v>
      </c>
      <c r="K52" s="7" t="s">
        <v>265</v>
      </c>
      <c r="L52" s="7" t="s">
        <v>261</v>
      </c>
      <c r="M52" s="7" t="s">
        <v>266</v>
      </c>
    </row>
    <row r="53" customFormat="false" ht="15" hidden="false" customHeight="true" outlineLevel="0" collapsed="false">
      <c r="A53" s="7" t="s">
        <v>43</v>
      </c>
      <c r="B53" s="7" t="s">
        <v>257</v>
      </c>
      <c r="C53" s="7" t="s">
        <v>267</v>
      </c>
      <c r="D53" s="7" t="s">
        <v>46</v>
      </c>
      <c r="E53" s="9" t="s">
        <v>71</v>
      </c>
      <c r="F53" s="7"/>
      <c r="G53" s="7"/>
      <c r="H53" s="7" t="s">
        <v>259</v>
      </c>
      <c r="I53" s="7"/>
      <c r="J53" s="7" t="s">
        <v>260</v>
      </c>
      <c r="K53" s="7" t="s">
        <v>57</v>
      </c>
      <c r="L53" s="7" t="s">
        <v>261</v>
      </c>
      <c r="M53" s="7" t="s">
        <v>268</v>
      </c>
    </row>
    <row r="54" customFormat="false" ht="15" hidden="false" customHeight="true" outlineLevel="0" collapsed="false">
      <c r="A54" s="7" t="s">
        <v>43</v>
      </c>
      <c r="B54" s="7" t="s">
        <v>269</v>
      </c>
      <c r="C54" s="7" t="s">
        <v>270</v>
      </c>
      <c r="D54" s="7" t="s">
        <v>46</v>
      </c>
      <c r="E54" s="9" t="s">
        <v>71</v>
      </c>
      <c r="F54" s="7"/>
      <c r="G54" s="7"/>
      <c r="H54" s="7" t="s">
        <v>271</v>
      </c>
      <c r="I54" s="7"/>
      <c r="J54" s="7" t="s">
        <v>272</v>
      </c>
      <c r="K54" s="7" t="s">
        <v>57</v>
      </c>
      <c r="L54" s="7" t="s">
        <v>273</v>
      </c>
      <c r="M54" s="7" t="s">
        <v>274</v>
      </c>
    </row>
    <row r="55" customFormat="false" ht="15" hidden="false" customHeight="true" outlineLevel="0" collapsed="false">
      <c r="A55" s="7" t="s">
        <v>43</v>
      </c>
      <c r="B55" s="7" t="s">
        <v>269</v>
      </c>
      <c r="C55" s="7" t="s">
        <v>275</v>
      </c>
      <c r="D55" s="7" t="s">
        <v>46</v>
      </c>
      <c r="E55" s="9" t="s">
        <v>71</v>
      </c>
      <c r="F55" s="7"/>
      <c r="G55" s="7"/>
      <c r="H55" s="7" t="s">
        <v>276</v>
      </c>
      <c r="I55" s="7"/>
      <c r="J55" s="7" t="s">
        <v>272</v>
      </c>
      <c r="K55" s="7" t="s">
        <v>57</v>
      </c>
      <c r="L55" s="7" t="s">
        <v>273</v>
      </c>
      <c r="M55" s="7" t="s">
        <v>274</v>
      </c>
    </row>
    <row r="56" customFormat="false" ht="15" hidden="false" customHeight="true" outlineLevel="0" collapsed="false">
      <c r="A56" s="7" t="s">
        <v>43</v>
      </c>
      <c r="B56" s="7" t="s">
        <v>269</v>
      </c>
      <c r="C56" s="7" t="s">
        <v>277</v>
      </c>
      <c r="D56" s="7" t="s">
        <v>46</v>
      </c>
      <c r="E56" s="9" t="s">
        <v>71</v>
      </c>
      <c r="F56" s="7"/>
      <c r="G56" s="7"/>
      <c r="H56" s="7" t="s">
        <v>278</v>
      </c>
      <c r="I56" s="7"/>
      <c r="J56" s="7" t="s">
        <v>272</v>
      </c>
      <c r="K56" s="7" t="s">
        <v>57</v>
      </c>
      <c r="L56" s="7" t="s">
        <v>273</v>
      </c>
      <c r="M56" s="7" t="s">
        <v>274</v>
      </c>
    </row>
    <row r="57" customFormat="false" ht="15" hidden="false" customHeight="true" outlineLevel="0" collapsed="false">
      <c r="A57" s="7" t="s">
        <v>43</v>
      </c>
      <c r="B57" s="7" t="s">
        <v>269</v>
      </c>
      <c r="C57" s="7" t="s">
        <v>279</v>
      </c>
      <c r="D57" s="7" t="s">
        <v>46</v>
      </c>
      <c r="E57" s="9" t="s">
        <v>71</v>
      </c>
      <c r="F57" s="7"/>
      <c r="G57" s="7"/>
      <c r="H57" s="7" t="s">
        <v>280</v>
      </c>
      <c r="I57" s="7"/>
      <c r="J57" s="7" t="s">
        <v>272</v>
      </c>
      <c r="K57" s="7" t="s">
        <v>57</v>
      </c>
      <c r="L57" s="7" t="s">
        <v>273</v>
      </c>
      <c r="M57" s="7" t="s">
        <v>274</v>
      </c>
    </row>
    <row r="58" customFormat="false" ht="15" hidden="false" customHeight="true" outlineLevel="0" collapsed="false">
      <c r="A58" s="7" t="s">
        <v>43</v>
      </c>
      <c r="B58" s="7" t="s">
        <v>269</v>
      </c>
      <c r="C58" s="7" t="s">
        <v>281</v>
      </c>
      <c r="D58" s="7" t="s">
        <v>46</v>
      </c>
      <c r="E58" s="9" t="s">
        <v>71</v>
      </c>
      <c r="F58" s="7"/>
      <c r="G58" s="7"/>
      <c r="H58" s="7" t="s">
        <v>282</v>
      </c>
      <c r="I58" s="7"/>
      <c r="J58" s="7" t="s">
        <v>272</v>
      </c>
      <c r="K58" s="7" t="s">
        <v>57</v>
      </c>
      <c r="L58" s="7" t="s">
        <v>273</v>
      </c>
      <c r="M58" s="7" t="s">
        <v>274</v>
      </c>
    </row>
    <row r="59" customFormat="false" ht="15" hidden="false" customHeight="true" outlineLevel="0" collapsed="false">
      <c r="A59" s="7" t="s">
        <v>43</v>
      </c>
      <c r="B59" s="7" t="s">
        <v>269</v>
      </c>
      <c r="C59" s="7" t="s">
        <v>283</v>
      </c>
      <c r="D59" s="7" t="s">
        <v>46</v>
      </c>
      <c r="E59" s="9" t="s">
        <v>71</v>
      </c>
      <c r="F59" s="7"/>
      <c r="G59" s="7"/>
      <c r="H59" s="7" t="s">
        <v>284</v>
      </c>
      <c r="I59" s="7"/>
      <c r="J59" s="7" t="s">
        <v>272</v>
      </c>
      <c r="K59" s="7" t="s">
        <v>57</v>
      </c>
      <c r="L59" s="7" t="s">
        <v>273</v>
      </c>
      <c r="M59" s="7" t="s">
        <v>285</v>
      </c>
    </row>
    <row r="60" customFormat="false" ht="15" hidden="false" customHeight="true" outlineLevel="0" collapsed="false">
      <c r="A60" s="7" t="s">
        <v>43</v>
      </c>
      <c r="B60" s="7" t="s">
        <v>269</v>
      </c>
      <c r="C60" s="7" t="s">
        <v>286</v>
      </c>
      <c r="D60" s="7" t="s">
        <v>46</v>
      </c>
      <c r="E60" s="9" t="s">
        <v>71</v>
      </c>
      <c r="F60" s="7"/>
      <c r="G60" s="7"/>
      <c r="H60" s="7" t="s">
        <v>287</v>
      </c>
      <c r="I60" s="7"/>
      <c r="J60" s="7" t="s">
        <v>272</v>
      </c>
      <c r="K60" s="7" t="s">
        <v>57</v>
      </c>
      <c r="L60" s="7" t="s">
        <v>273</v>
      </c>
      <c r="M60" s="7" t="s">
        <v>288</v>
      </c>
    </row>
    <row r="61" customFormat="false" ht="15" hidden="false" customHeight="true" outlineLevel="0" collapsed="false">
      <c r="A61" s="7" t="s">
        <v>43</v>
      </c>
      <c r="B61" s="7" t="s">
        <v>269</v>
      </c>
      <c r="C61" s="7" t="s">
        <v>289</v>
      </c>
      <c r="D61" s="7" t="s">
        <v>46</v>
      </c>
      <c r="E61" s="9" t="s">
        <v>71</v>
      </c>
      <c r="F61" s="7"/>
      <c r="G61" s="7"/>
      <c r="H61" s="7"/>
      <c r="I61" s="7"/>
      <c r="J61" s="7" t="s">
        <v>272</v>
      </c>
      <c r="K61" s="7" t="s">
        <v>112</v>
      </c>
      <c r="L61" s="7" t="s">
        <v>65</v>
      </c>
      <c r="M61" s="7" t="s">
        <v>290</v>
      </c>
    </row>
    <row r="62" customFormat="false" ht="15" hidden="false" customHeight="true" outlineLevel="0" collapsed="false">
      <c r="A62" s="7" t="s">
        <v>43</v>
      </c>
      <c r="B62" s="7" t="s">
        <v>291</v>
      </c>
      <c r="C62" s="7" t="s">
        <v>292</v>
      </c>
      <c r="D62" s="7" t="s">
        <v>46</v>
      </c>
      <c r="E62" s="10" t="s">
        <v>62</v>
      </c>
      <c r="F62" s="7"/>
      <c r="G62" s="7"/>
      <c r="H62" s="7"/>
      <c r="I62" s="7"/>
      <c r="J62" s="7" t="s">
        <v>293</v>
      </c>
      <c r="K62" s="7" t="s">
        <v>90</v>
      </c>
      <c r="L62" s="7" t="s">
        <v>65</v>
      </c>
      <c r="M62" s="7" t="s">
        <v>294</v>
      </c>
    </row>
    <row r="63" customFormat="false" ht="15" hidden="false" customHeight="true" outlineLevel="0" collapsed="false">
      <c r="A63" s="7" t="s">
        <v>43</v>
      </c>
      <c r="B63" s="7" t="s">
        <v>291</v>
      </c>
      <c r="C63" s="7" t="s">
        <v>295</v>
      </c>
      <c r="D63" s="7" t="s">
        <v>46</v>
      </c>
      <c r="E63" s="10" t="s">
        <v>62</v>
      </c>
      <c r="F63" s="7"/>
      <c r="G63" s="7"/>
      <c r="H63" s="7" t="s">
        <v>296</v>
      </c>
      <c r="I63" s="7"/>
      <c r="J63" s="7" t="s">
        <v>293</v>
      </c>
      <c r="K63" s="7" t="s">
        <v>57</v>
      </c>
      <c r="L63" s="7" t="s">
        <v>297</v>
      </c>
      <c r="M63" s="7" t="s">
        <v>298</v>
      </c>
    </row>
    <row r="64" customFormat="false" ht="15" hidden="false" customHeight="true" outlineLevel="0" collapsed="false">
      <c r="A64" s="7" t="s">
        <v>43</v>
      </c>
      <c r="B64" s="7" t="s">
        <v>291</v>
      </c>
      <c r="C64" s="7" t="s">
        <v>299</v>
      </c>
      <c r="D64" s="7" t="s">
        <v>46</v>
      </c>
      <c r="E64" s="9" t="s">
        <v>71</v>
      </c>
      <c r="F64" s="7"/>
      <c r="G64" s="7"/>
      <c r="H64" s="7" t="s">
        <v>296</v>
      </c>
      <c r="I64" s="7"/>
      <c r="J64" s="7" t="s">
        <v>293</v>
      </c>
      <c r="K64" s="7" t="s">
        <v>57</v>
      </c>
      <c r="L64" s="7" t="s">
        <v>297</v>
      </c>
      <c r="M64" s="7" t="s">
        <v>300</v>
      </c>
    </row>
    <row r="65" customFormat="false" ht="15" hidden="false" customHeight="true" outlineLevel="0" collapsed="false">
      <c r="A65" s="7" t="s">
        <v>43</v>
      </c>
      <c r="B65" s="7" t="s">
        <v>301</v>
      </c>
      <c r="C65" s="7" t="s">
        <v>302</v>
      </c>
      <c r="D65" s="7" t="s">
        <v>46</v>
      </c>
      <c r="E65" s="9" t="s">
        <v>71</v>
      </c>
      <c r="F65" s="7"/>
      <c r="G65" s="7"/>
      <c r="H65" s="7"/>
      <c r="I65" s="7"/>
      <c r="J65" s="7" t="s">
        <v>303</v>
      </c>
      <c r="K65" s="7" t="s">
        <v>112</v>
      </c>
      <c r="L65" s="7" t="s">
        <v>65</v>
      </c>
      <c r="M65" s="7" t="s">
        <v>304</v>
      </c>
    </row>
    <row r="66" customFormat="false" ht="15" hidden="false" customHeight="true" outlineLevel="0" collapsed="false">
      <c r="A66" s="7" t="s">
        <v>43</v>
      </c>
      <c r="B66" s="7" t="s">
        <v>305</v>
      </c>
      <c r="C66" s="7" t="s">
        <v>306</v>
      </c>
      <c r="D66" s="7" t="s">
        <v>46</v>
      </c>
      <c r="E66" s="9" t="s">
        <v>71</v>
      </c>
      <c r="F66" s="7"/>
      <c r="G66" s="7"/>
      <c r="H66" s="7" t="s">
        <v>307</v>
      </c>
      <c r="I66" s="7"/>
      <c r="J66" s="7" t="s">
        <v>308</v>
      </c>
      <c r="K66" s="7" t="s">
        <v>57</v>
      </c>
      <c r="L66" s="7" t="s">
        <v>309</v>
      </c>
      <c r="M66" s="7" t="s">
        <v>310</v>
      </c>
    </row>
    <row r="67" customFormat="false" ht="15" hidden="false" customHeight="true" outlineLevel="0" collapsed="false">
      <c r="A67" s="7" t="s">
        <v>43</v>
      </c>
      <c r="B67" s="7" t="s">
        <v>305</v>
      </c>
      <c r="C67" s="7" t="s">
        <v>311</v>
      </c>
      <c r="D67" s="7" t="s">
        <v>46</v>
      </c>
      <c r="E67" s="9" t="s">
        <v>71</v>
      </c>
      <c r="F67" s="7"/>
      <c r="G67" s="7"/>
      <c r="H67" s="7" t="s">
        <v>312</v>
      </c>
      <c r="I67" s="7"/>
      <c r="J67" s="7" t="s">
        <v>308</v>
      </c>
      <c r="K67" s="7" t="s">
        <v>57</v>
      </c>
      <c r="L67" s="7" t="s">
        <v>309</v>
      </c>
      <c r="M67" s="7" t="s">
        <v>313</v>
      </c>
    </row>
    <row r="68" customFormat="false" ht="15" hidden="false" customHeight="true" outlineLevel="0" collapsed="false">
      <c r="A68" s="7" t="s">
        <v>43</v>
      </c>
      <c r="B68" s="7" t="s">
        <v>305</v>
      </c>
      <c r="C68" s="7" t="s">
        <v>314</v>
      </c>
      <c r="D68" s="7" t="s">
        <v>46</v>
      </c>
      <c r="E68" s="9" t="s">
        <v>71</v>
      </c>
      <c r="F68" s="7"/>
      <c r="G68" s="7"/>
      <c r="H68" s="7" t="s">
        <v>315</v>
      </c>
      <c r="I68" s="7"/>
      <c r="J68" s="7" t="s">
        <v>308</v>
      </c>
      <c r="K68" s="7" t="s">
        <v>57</v>
      </c>
      <c r="L68" s="7" t="s">
        <v>309</v>
      </c>
      <c r="M68" s="7" t="s">
        <v>316</v>
      </c>
    </row>
    <row r="69" customFormat="false" ht="15" hidden="false" customHeight="true" outlineLevel="0" collapsed="false">
      <c r="A69" s="7" t="s">
        <v>43</v>
      </c>
      <c r="B69" s="7" t="s">
        <v>305</v>
      </c>
      <c r="C69" s="7" t="s">
        <v>317</v>
      </c>
      <c r="D69" s="7" t="s">
        <v>46</v>
      </c>
      <c r="E69" s="9" t="s">
        <v>71</v>
      </c>
      <c r="F69" s="7"/>
      <c r="G69" s="7"/>
      <c r="H69" s="7" t="s">
        <v>318</v>
      </c>
      <c r="I69" s="7"/>
      <c r="J69" s="7" t="s">
        <v>308</v>
      </c>
      <c r="K69" s="7" t="s">
        <v>57</v>
      </c>
      <c r="L69" s="7" t="s">
        <v>309</v>
      </c>
      <c r="M69" s="7" t="s">
        <v>319</v>
      </c>
    </row>
    <row r="70" customFormat="false" ht="15" hidden="false" customHeight="true" outlineLevel="0" collapsed="false">
      <c r="A70" s="7" t="s">
        <v>43</v>
      </c>
      <c r="B70" s="7" t="s">
        <v>320</v>
      </c>
      <c r="C70" s="7" t="s">
        <v>321</v>
      </c>
      <c r="D70" s="7" t="s">
        <v>46</v>
      </c>
      <c r="E70" s="9" t="s">
        <v>71</v>
      </c>
      <c r="F70" s="7"/>
      <c r="G70" s="7"/>
      <c r="H70" s="7" t="s">
        <v>322</v>
      </c>
      <c r="I70" s="7"/>
      <c r="J70" s="7" t="s">
        <v>323</v>
      </c>
      <c r="K70" s="7" t="s">
        <v>57</v>
      </c>
      <c r="L70" s="7" t="s">
        <v>324</v>
      </c>
      <c r="M70" s="7" t="s">
        <v>325</v>
      </c>
    </row>
    <row r="71" customFormat="false" ht="15" hidden="false" customHeight="true" outlineLevel="0" collapsed="false">
      <c r="A71" s="7" t="s">
        <v>43</v>
      </c>
      <c r="B71" s="7" t="s">
        <v>326</v>
      </c>
      <c r="C71" s="7" t="s">
        <v>327</v>
      </c>
      <c r="D71" s="7" t="s">
        <v>46</v>
      </c>
      <c r="E71" s="9" t="s">
        <v>47</v>
      </c>
      <c r="F71" s="7"/>
      <c r="G71" s="7"/>
      <c r="H71" s="7" t="s">
        <v>328</v>
      </c>
      <c r="I71" s="7"/>
      <c r="J71" s="7" t="s">
        <v>329</v>
      </c>
      <c r="K71" s="7" t="s">
        <v>57</v>
      </c>
      <c r="L71" s="7" t="s">
        <v>330</v>
      </c>
      <c r="M71" s="7" t="s">
        <v>331</v>
      </c>
    </row>
    <row r="72" customFormat="false" ht="15" hidden="false" customHeight="true" outlineLevel="0" collapsed="false">
      <c r="A72" s="7" t="s">
        <v>43</v>
      </c>
      <c r="B72" s="7" t="s">
        <v>332</v>
      </c>
      <c r="C72" s="7" t="s">
        <v>333</v>
      </c>
      <c r="D72" s="7" t="s">
        <v>46</v>
      </c>
      <c r="E72" s="10" t="s">
        <v>47</v>
      </c>
      <c r="F72" s="7"/>
      <c r="G72" s="7"/>
      <c r="H72" s="7"/>
      <c r="I72" s="7"/>
      <c r="J72" s="7" t="s">
        <v>334</v>
      </c>
      <c r="K72" s="7" t="s">
        <v>64</v>
      </c>
      <c r="L72" s="7" t="s">
        <v>65</v>
      </c>
      <c r="M72" s="7" t="s">
        <v>335</v>
      </c>
    </row>
    <row r="73" customFormat="false" ht="15" hidden="false" customHeight="true" outlineLevel="0" collapsed="false">
      <c r="A73" s="7" t="s">
        <v>43</v>
      </c>
      <c r="B73" s="7" t="s">
        <v>332</v>
      </c>
      <c r="C73" s="7" t="s">
        <v>336</v>
      </c>
      <c r="D73" s="7" t="s">
        <v>46</v>
      </c>
      <c r="E73" s="9" t="s">
        <v>71</v>
      </c>
      <c r="F73" s="7"/>
      <c r="G73" s="7"/>
      <c r="H73" s="7" t="s">
        <v>337</v>
      </c>
      <c r="I73" s="7"/>
      <c r="J73" s="7" t="s">
        <v>334</v>
      </c>
      <c r="K73" s="7" t="s">
        <v>338</v>
      </c>
      <c r="L73" s="7" t="s">
        <v>339</v>
      </c>
      <c r="M73" s="7" t="s">
        <v>340</v>
      </c>
    </row>
    <row r="74" customFormat="false" ht="15" hidden="false" customHeight="true" outlineLevel="0" collapsed="false">
      <c r="A74" s="7" t="s">
        <v>43</v>
      </c>
      <c r="B74" s="7" t="s">
        <v>332</v>
      </c>
      <c r="C74" s="7" t="s">
        <v>341</v>
      </c>
      <c r="D74" s="7" t="s">
        <v>46</v>
      </c>
      <c r="E74" s="9" t="s">
        <v>71</v>
      </c>
      <c r="F74" s="7"/>
      <c r="G74" s="7"/>
      <c r="H74" s="7" t="s">
        <v>342</v>
      </c>
      <c r="I74" s="7"/>
      <c r="J74" s="7" t="s">
        <v>334</v>
      </c>
      <c r="K74" s="7" t="s">
        <v>57</v>
      </c>
      <c r="L74" s="7" t="s">
        <v>343</v>
      </c>
      <c r="M74" s="7" t="s">
        <v>344</v>
      </c>
    </row>
    <row r="75" customFormat="false" ht="15" hidden="false" customHeight="true" outlineLevel="0" collapsed="false">
      <c r="A75" s="7" t="s">
        <v>43</v>
      </c>
      <c r="B75" s="7" t="s">
        <v>345</v>
      </c>
      <c r="C75" s="7" t="s">
        <v>346</v>
      </c>
      <c r="D75" s="7" t="s">
        <v>46</v>
      </c>
      <c r="E75" s="9" t="s">
        <v>71</v>
      </c>
      <c r="F75" s="7"/>
      <c r="G75" s="7"/>
      <c r="H75" s="7" t="s">
        <v>347</v>
      </c>
      <c r="I75" s="7"/>
      <c r="J75" s="7" t="s">
        <v>348</v>
      </c>
      <c r="K75" s="7" t="s">
        <v>349</v>
      </c>
      <c r="L75" s="7" t="s">
        <v>350</v>
      </c>
      <c r="M75" s="7" t="s">
        <v>351</v>
      </c>
    </row>
    <row r="76" customFormat="false" ht="15" hidden="false" customHeight="true" outlineLevel="0" collapsed="false">
      <c r="A76" s="7" t="s">
        <v>43</v>
      </c>
      <c r="B76" s="7" t="s">
        <v>345</v>
      </c>
      <c r="C76" s="7" t="s">
        <v>352</v>
      </c>
      <c r="D76" s="7" t="s">
        <v>46</v>
      </c>
      <c r="E76" s="9" t="s">
        <v>71</v>
      </c>
      <c r="F76" s="7"/>
      <c r="G76" s="7"/>
      <c r="H76" s="7" t="s">
        <v>353</v>
      </c>
      <c r="I76" s="7"/>
      <c r="J76" s="7" t="s">
        <v>348</v>
      </c>
      <c r="K76" s="7" t="s">
        <v>354</v>
      </c>
      <c r="L76" s="7" t="s">
        <v>350</v>
      </c>
      <c r="M76" s="7" t="s">
        <v>355</v>
      </c>
    </row>
    <row r="77" customFormat="false" ht="15" hidden="false" customHeight="true" outlineLevel="0" collapsed="false">
      <c r="A77" s="7" t="s">
        <v>43</v>
      </c>
      <c r="B77" s="7" t="s">
        <v>345</v>
      </c>
      <c r="C77" s="7" t="s">
        <v>356</v>
      </c>
      <c r="D77" s="7" t="s">
        <v>46</v>
      </c>
      <c r="E77" s="9" t="s">
        <v>71</v>
      </c>
      <c r="F77" s="7"/>
      <c r="G77" s="7"/>
      <c r="H77" s="7" t="s">
        <v>357</v>
      </c>
      <c r="I77" s="7"/>
      <c r="J77" s="7" t="s">
        <v>348</v>
      </c>
      <c r="K77" s="7" t="s">
        <v>354</v>
      </c>
      <c r="L77" s="7" t="s">
        <v>350</v>
      </c>
      <c r="M77" s="7" t="s">
        <v>358</v>
      </c>
    </row>
    <row r="78" customFormat="false" ht="15" hidden="false" customHeight="true" outlineLevel="0" collapsed="false">
      <c r="A78" s="7" t="s">
        <v>43</v>
      </c>
      <c r="B78" s="7" t="s">
        <v>345</v>
      </c>
      <c r="C78" s="7" t="s">
        <v>359</v>
      </c>
      <c r="D78" s="7" t="s">
        <v>46</v>
      </c>
      <c r="E78" s="9" t="s">
        <v>71</v>
      </c>
      <c r="F78" s="7"/>
      <c r="G78" s="7"/>
      <c r="H78" s="7" t="s">
        <v>360</v>
      </c>
      <c r="I78" s="7"/>
      <c r="J78" s="7" t="s">
        <v>348</v>
      </c>
      <c r="K78" s="7" t="s">
        <v>354</v>
      </c>
      <c r="L78" s="7" t="s">
        <v>350</v>
      </c>
      <c r="M78" s="7" t="s">
        <v>361</v>
      </c>
    </row>
    <row r="79" customFormat="false" ht="15" hidden="false" customHeight="true" outlineLevel="0" collapsed="false">
      <c r="A79" s="7" t="s">
        <v>43</v>
      </c>
      <c r="B79" s="7" t="s">
        <v>345</v>
      </c>
      <c r="C79" s="7" t="s">
        <v>362</v>
      </c>
      <c r="D79" s="7" t="s">
        <v>46</v>
      </c>
      <c r="E79" s="9" t="s">
        <v>47</v>
      </c>
      <c r="F79" s="7"/>
      <c r="G79" s="7"/>
      <c r="H79" s="7" t="s">
        <v>363</v>
      </c>
      <c r="I79" s="7"/>
      <c r="J79" s="7" t="s">
        <v>348</v>
      </c>
      <c r="K79" s="7" t="s">
        <v>354</v>
      </c>
      <c r="L79" s="7" t="s">
        <v>350</v>
      </c>
      <c r="M79" s="7" t="s">
        <v>364</v>
      </c>
    </row>
    <row r="80" customFormat="false" ht="15" hidden="false" customHeight="true" outlineLevel="0" collapsed="false">
      <c r="A80" s="7" t="s">
        <v>43</v>
      </c>
      <c r="B80" s="7" t="s">
        <v>365</v>
      </c>
      <c r="C80" s="7" t="s">
        <v>366</v>
      </c>
      <c r="D80" s="7" t="s">
        <v>46</v>
      </c>
      <c r="E80" s="7" t="s">
        <v>62</v>
      </c>
      <c r="F80" s="7"/>
      <c r="G80" s="7"/>
      <c r="H80" s="7" t="s">
        <v>367</v>
      </c>
      <c r="I80" s="7"/>
      <c r="J80" s="7" t="s">
        <v>368</v>
      </c>
      <c r="K80" s="7" t="s">
        <v>57</v>
      </c>
      <c r="L80" s="7" t="s">
        <v>65</v>
      </c>
      <c r="M80" s="7" t="s">
        <v>369</v>
      </c>
    </row>
    <row r="81" customFormat="false" ht="15" hidden="false" customHeight="true" outlineLevel="0" collapsed="false">
      <c r="A81" s="7" t="s">
        <v>43</v>
      </c>
      <c r="B81" s="7" t="s">
        <v>370</v>
      </c>
      <c r="C81" s="7" t="s">
        <v>371</v>
      </c>
      <c r="D81" s="7" t="s">
        <v>46</v>
      </c>
      <c r="E81" s="10" t="s">
        <v>62</v>
      </c>
      <c r="F81" s="7"/>
      <c r="G81" s="7"/>
      <c r="H81" s="7" t="s">
        <v>372</v>
      </c>
      <c r="I81" s="7"/>
      <c r="J81" s="7" t="s">
        <v>373</v>
      </c>
      <c r="K81" s="7" t="s">
        <v>57</v>
      </c>
      <c r="L81" s="7" t="s">
        <v>374</v>
      </c>
      <c r="M81" s="7" t="s">
        <v>375</v>
      </c>
    </row>
    <row r="82" customFormat="false" ht="15" hidden="false" customHeight="true" outlineLevel="0" collapsed="false">
      <c r="A82" s="7" t="s">
        <v>43</v>
      </c>
      <c r="B82" s="7" t="s">
        <v>370</v>
      </c>
      <c r="C82" s="7" t="s">
        <v>376</v>
      </c>
      <c r="D82" s="7" t="s">
        <v>46</v>
      </c>
      <c r="E82" s="10" t="s">
        <v>62</v>
      </c>
      <c r="F82" s="7"/>
      <c r="G82" s="7"/>
      <c r="H82" s="7" t="s">
        <v>377</v>
      </c>
      <c r="I82" s="7"/>
      <c r="J82" s="7" t="s">
        <v>373</v>
      </c>
      <c r="K82" s="7" t="s">
        <v>57</v>
      </c>
      <c r="L82" s="7" t="s">
        <v>374</v>
      </c>
      <c r="M82" s="7" t="s">
        <v>378</v>
      </c>
    </row>
    <row r="83" customFormat="false" ht="15" hidden="false" customHeight="true" outlineLevel="0" collapsed="false">
      <c r="A83" s="7" t="s">
        <v>43</v>
      </c>
      <c r="B83" s="7" t="s">
        <v>370</v>
      </c>
      <c r="C83" s="7" t="s">
        <v>379</v>
      </c>
      <c r="D83" s="7" t="s">
        <v>46</v>
      </c>
      <c r="E83" s="9" t="s">
        <v>71</v>
      </c>
      <c r="F83" s="7"/>
      <c r="G83" s="7"/>
      <c r="H83" s="7" t="s">
        <v>380</v>
      </c>
      <c r="I83" s="7"/>
      <c r="J83" s="7" t="s">
        <v>373</v>
      </c>
      <c r="K83" s="7" t="s">
        <v>57</v>
      </c>
      <c r="L83" s="7" t="s">
        <v>374</v>
      </c>
      <c r="M83" s="7" t="s">
        <v>381</v>
      </c>
    </row>
    <row r="84" customFormat="false" ht="15" hidden="false" customHeight="true" outlineLevel="0" collapsed="false">
      <c r="A84" s="7" t="s">
        <v>43</v>
      </c>
      <c r="B84" s="7" t="s">
        <v>382</v>
      </c>
      <c r="C84" s="7" t="s">
        <v>383</v>
      </c>
      <c r="D84" s="7" t="s">
        <v>46</v>
      </c>
      <c r="E84" s="10" t="s">
        <v>47</v>
      </c>
      <c r="F84" s="7"/>
      <c r="G84" s="7"/>
      <c r="H84" s="7"/>
      <c r="I84" s="7"/>
      <c r="J84" s="7" t="s">
        <v>384</v>
      </c>
      <c r="K84" s="7" t="s">
        <v>112</v>
      </c>
      <c r="L84" s="7" t="s">
        <v>385</v>
      </c>
      <c r="M84" s="7" t="s">
        <v>386</v>
      </c>
    </row>
    <row r="85" customFormat="false" ht="15" hidden="false" customHeight="true" outlineLevel="0" collapsed="false">
      <c r="A85" s="7" t="s">
        <v>43</v>
      </c>
      <c r="B85" s="7" t="s">
        <v>382</v>
      </c>
      <c r="C85" s="7" t="s">
        <v>387</v>
      </c>
      <c r="D85" s="7" t="s">
        <v>46</v>
      </c>
      <c r="E85" s="9" t="s">
        <v>47</v>
      </c>
      <c r="F85" s="7"/>
      <c r="G85" s="7"/>
      <c r="H85" s="7"/>
      <c r="I85" s="7"/>
      <c r="J85" s="7" t="s">
        <v>384</v>
      </c>
      <c r="K85" s="7" t="s">
        <v>112</v>
      </c>
      <c r="L85" s="7" t="s">
        <v>385</v>
      </c>
      <c r="M85" s="7" t="s">
        <v>388</v>
      </c>
    </row>
    <row r="86" customFormat="false" ht="15" hidden="false" customHeight="true" outlineLevel="0" collapsed="false">
      <c r="A86" s="7" t="s">
        <v>43</v>
      </c>
      <c r="B86" s="7" t="s">
        <v>382</v>
      </c>
      <c r="C86" s="7" t="s">
        <v>389</v>
      </c>
      <c r="D86" s="7" t="s">
        <v>46</v>
      </c>
      <c r="E86" s="10" t="s">
        <v>47</v>
      </c>
      <c r="F86" s="7"/>
      <c r="G86" s="7"/>
      <c r="H86" s="7"/>
      <c r="I86" s="7"/>
      <c r="J86" s="7" t="s">
        <v>384</v>
      </c>
      <c r="K86" s="7" t="s">
        <v>112</v>
      </c>
      <c r="L86" s="7" t="s">
        <v>385</v>
      </c>
      <c r="M86" s="7" t="s">
        <v>386</v>
      </c>
    </row>
    <row r="87" customFormat="false" ht="15" hidden="false" customHeight="true" outlineLevel="0" collapsed="false">
      <c r="A87" s="7" t="s">
        <v>43</v>
      </c>
      <c r="B87" s="7" t="s">
        <v>390</v>
      </c>
      <c r="C87" s="7" t="s">
        <v>391</v>
      </c>
      <c r="D87" s="7" t="s">
        <v>46</v>
      </c>
      <c r="E87" s="10" t="s">
        <v>71</v>
      </c>
      <c r="F87" s="7"/>
      <c r="G87" s="7"/>
      <c r="H87" s="7" t="s">
        <v>392</v>
      </c>
      <c r="I87" s="7"/>
      <c r="J87" s="7" t="s">
        <v>393</v>
      </c>
      <c r="K87" s="7" t="s">
        <v>394</v>
      </c>
      <c r="L87" s="7" t="s">
        <v>395</v>
      </c>
      <c r="M87" s="7" t="s">
        <v>396</v>
      </c>
    </row>
    <row r="88" customFormat="false" ht="15" hidden="false" customHeight="true" outlineLevel="0" collapsed="false">
      <c r="A88" s="7" t="s">
        <v>43</v>
      </c>
      <c r="B88" s="7" t="s">
        <v>390</v>
      </c>
      <c r="C88" s="7" t="s">
        <v>397</v>
      </c>
      <c r="D88" s="7" t="s">
        <v>46</v>
      </c>
      <c r="E88" s="10" t="s">
        <v>62</v>
      </c>
      <c r="F88" s="7"/>
      <c r="G88" s="7"/>
      <c r="H88" s="7" t="s">
        <v>398</v>
      </c>
      <c r="I88" s="7"/>
      <c r="J88" s="7" t="s">
        <v>393</v>
      </c>
      <c r="K88" s="7" t="s">
        <v>57</v>
      </c>
      <c r="L88" s="7" t="s">
        <v>395</v>
      </c>
      <c r="M88" s="7" t="s">
        <v>399</v>
      </c>
    </row>
    <row r="89" customFormat="false" ht="15" hidden="false" customHeight="true" outlineLevel="0" collapsed="false">
      <c r="A89" s="7" t="s">
        <v>43</v>
      </c>
      <c r="B89" s="7" t="s">
        <v>390</v>
      </c>
      <c r="C89" s="7" t="s">
        <v>400</v>
      </c>
      <c r="D89" s="7" t="s">
        <v>46</v>
      </c>
      <c r="E89" s="9" t="s">
        <v>71</v>
      </c>
      <c r="F89" s="7"/>
      <c r="G89" s="7"/>
      <c r="H89" s="7" t="s">
        <v>401</v>
      </c>
      <c r="I89" s="7"/>
      <c r="J89" s="7" t="s">
        <v>393</v>
      </c>
      <c r="K89" s="7" t="s">
        <v>394</v>
      </c>
      <c r="L89" s="7" t="s">
        <v>402</v>
      </c>
      <c r="M89" s="7" t="s">
        <v>403</v>
      </c>
    </row>
    <row r="90" customFormat="false" ht="15" hidden="false" customHeight="true" outlineLevel="0" collapsed="false">
      <c r="A90" s="7" t="s">
        <v>43</v>
      </c>
      <c r="B90" s="7" t="s">
        <v>390</v>
      </c>
      <c r="C90" s="7" t="s">
        <v>404</v>
      </c>
      <c r="D90" s="7" t="s">
        <v>46</v>
      </c>
      <c r="E90" s="9" t="s">
        <v>71</v>
      </c>
      <c r="F90" s="7"/>
      <c r="G90" s="7"/>
      <c r="H90" s="7" t="s">
        <v>405</v>
      </c>
      <c r="I90" s="7"/>
      <c r="J90" s="7" t="s">
        <v>393</v>
      </c>
      <c r="K90" s="7" t="s">
        <v>394</v>
      </c>
      <c r="L90" s="7" t="s">
        <v>395</v>
      </c>
      <c r="M90" s="7" t="s">
        <v>406</v>
      </c>
    </row>
    <row r="91" customFormat="false" ht="15" hidden="false" customHeight="true" outlineLevel="0" collapsed="false">
      <c r="A91" s="7" t="s">
        <v>43</v>
      </c>
      <c r="B91" s="7" t="s">
        <v>407</v>
      </c>
      <c r="C91" s="7" t="s">
        <v>408</v>
      </c>
      <c r="D91" s="7" t="s">
        <v>46</v>
      </c>
      <c r="E91" s="9" t="s">
        <v>71</v>
      </c>
      <c r="F91" s="7"/>
      <c r="G91" s="7"/>
      <c r="H91" s="7" t="s">
        <v>409</v>
      </c>
      <c r="I91" s="7"/>
      <c r="J91" s="7" t="s">
        <v>410</v>
      </c>
      <c r="K91" s="7" t="s">
        <v>411</v>
      </c>
      <c r="L91" s="7" t="s">
        <v>412</v>
      </c>
      <c r="M91" s="7" t="s">
        <v>413</v>
      </c>
    </row>
    <row r="92" customFormat="false" ht="15" hidden="false" customHeight="true" outlineLevel="0" collapsed="false">
      <c r="A92" s="7" t="s">
        <v>414</v>
      </c>
      <c r="B92" s="7" t="s">
        <v>415</v>
      </c>
      <c r="C92" s="7" t="s">
        <v>416</v>
      </c>
      <c r="D92" s="7" t="s">
        <v>125</v>
      </c>
      <c r="E92" s="9" t="s">
        <v>71</v>
      </c>
      <c r="F92" s="7" t="s">
        <v>415</v>
      </c>
      <c r="G92" s="7"/>
      <c r="H92" s="7" t="s">
        <v>417</v>
      </c>
      <c r="I92" s="7" t="s">
        <v>418</v>
      </c>
      <c r="J92" s="7" t="s">
        <v>419</v>
      </c>
      <c r="K92" s="7" t="s">
        <v>57</v>
      </c>
      <c r="L92" s="7" t="s">
        <v>420</v>
      </c>
      <c r="M92" s="7" t="s">
        <v>421</v>
      </c>
    </row>
    <row r="93" customFormat="false" ht="15" hidden="false" customHeight="true" outlineLevel="0" collapsed="false">
      <c r="A93" s="7" t="s">
        <v>43</v>
      </c>
      <c r="B93" s="7" t="s">
        <v>422</v>
      </c>
      <c r="C93" s="7" t="s">
        <v>423</v>
      </c>
      <c r="D93" s="7" t="s">
        <v>46</v>
      </c>
      <c r="E93" s="10" t="s">
        <v>62</v>
      </c>
      <c r="F93" s="7"/>
      <c r="G93" s="7"/>
      <c r="H93" s="7"/>
      <c r="I93" s="7"/>
      <c r="J93" s="7" t="s">
        <v>424</v>
      </c>
      <c r="K93" s="7" t="s">
        <v>64</v>
      </c>
      <c r="L93" s="7" t="s">
        <v>65</v>
      </c>
      <c r="M93" s="7" t="s">
        <v>425</v>
      </c>
    </row>
    <row r="94" customFormat="false" ht="15" hidden="false" customHeight="true" outlineLevel="0" collapsed="false">
      <c r="A94" s="7" t="s">
        <v>43</v>
      </c>
      <c r="B94" s="7" t="s">
        <v>422</v>
      </c>
      <c r="C94" s="7" t="s">
        <v>426</v>
      </c>
      <c r="D94" s="7" t="s">
        <v>46</v>
      </c>
      <c r="E94" s="8" t="s">
        <v>47</v>
      </c>
      <c r="F94" s="7"/>
      <c r="G94" s="7"/>
      <c r="H94" s="7" t="s">
        <v>427</v>
      </c>
      <c r="I94" s="7"/>
      <c r="J94" s="7" t="s">
        <v>424</v>
      </c>
      <c r="K94" s="7" t="s">
        <v>57</v>
      </c>
      <c r="L94" s="7" t="s">
        <v>428</v>
      </c>
      <c r="M94" s="7" t="s">
        <v>429</v>
      </c>
    </row>
    <row r="95" customFormat="false" ht="15" hidden="false" customHeight="true" outlineLevel="0" collapsed="false">
      <c r="A95" s="7" t="s">
        <v>43</v>
      </c>
      <c r="B95" s="7" t="s">
        <v>422</v>
      </c>
      <c r="C95" s="7" t="s">
        <v>430</v>
      </c>
      <c r="D95" s="7" t="s">
        <v>46</v>
      </c>
      <c r="E95" s="8" t="s">
        <v>47</v>
      </c>
      <c r="F95" s="7"/>
      <c r="G95" s="7"/>
      <c r="H95" s="7" t="s">
        <v>427</v>
      </c>
      <c r="I95" s="7"/>
      <c r="J95" s="7" t="s">
        <v>424</v>
      </c>
      <c r="K95" s="7" t="s">
        <v>431</v>
      </c>
      <c r="L95" s="7" t="s">
        <v>432</v>
      </c>
      <c r="M95" s="7" t="s">
        <v>433</v>
      </c>
    </row>
    <row r="96" customFormat="false" ht="15" hidden="false" customHeight="true" outlineLevel="0" collapsed="false">
      <c r="A96" s="7" t="s">
        <v>43</v>
      </c>
      <c r="B96" s="7" t="s">
        <v>422</v>
      </c>
      <c r="C96" s="7" t="s">
        <v>434</v>
      </c>
      <c r="D96" s="7" t="s">
        <v>46</v>
      </c>
      <c r="E96" s="9" t="s">
        <v>71</v>
      </c>
      <c r="F96" s="7"/>
      <c r="G96" s="7"/>
      <c r="H96" s="7" t="s">
        <v>435</v>
      </c>
      <c r="I96" s="7"/>
      <c r="J96" s="7" t="s">
        <v>424</v>
      </c>
      <c r="K96" s="7" t="s">
        <v>85</v>
      </c>
      <c r="L96" s="7" t="s">
        <v>436</v>
      </c>
      <c r="M96" s="7" t="s">
        <v>437</v>
      </c>
    </row>
    <row r="97" customFormat="false" ht="15" hidden="false" customHeight="true" outlineLevel="0" collapsed="false">
      <c r="A97" s="7" t="s">
        <v>43</v>
      </c>
      <c r="B97" s="7" t="s">
        <v>422</v>
      </c>
      <c r="C97" s="7" t="s">
        <v>438</v>
      </c>
      <c r="D97" s="7" t="s">
        <v>46</v>
      </c>
      <c r="E97" s="9" t="s">
        <v>62</v>
      </c>
      <c r="F97" s="7"/>
      <c r="G97" s="7"/>
      <c r="H97" s="7"/>
      <c r="I97" s="7"/>
      <c r="J97" s="7" t="s">
        <v>424</v>
      </c>
      <c r="K97" s="7" t="s">
        <v>64</v>
      </c>
      <c r="L97" s="7" t="s">
        <v>65</v>
      </c>
      <c r="M97" s="7" t="s">
        <v>439</v>
      </c>
    </row>
    <row r="98" customFormat="false" ht="15" hidden="false" customHeight="true" outlineLevel="0" collapsed="false">
      <c r="A98" s="7" t="s">
        <v>43</v>
      </c>
      <c r="B98" s="7" t="s">
        <v>440</v>
      </c>
      <c r="C98" s="7" t="s">
        <v>441</v>
      </c>
      <c r="D98" s="7" t="s">
        <v>46</v>
      </c>
      <c r="E98" s="8" t="s">
        <v>62</v>
      </c>
      <c r="F98" s="7"/>
      <c r="G98" s="7"/>
      <c r="H98" s="7" t="s">
        <v>442</v>
      </c>
      <c r="I98" s="7"/>
      <c r="J98" s="7" t="s">
        <v>443</v>
      </c>
      <c r="K98" s="7" t="s">
        <v>57</v>
      </c>
      <c r="L98" s="7" t="s">
        <v>444</v>
      </c>
      <c r="M98" s="7" t="s">
        <v>445</v>
      </c>
    </row>
    <row r="99" customFormat="false" ht="15" hidden="false" customHeight="true" outlineLevel="0" collapsed="false">
      <c r="A99" s="7" t="s">
        <v>43</v>
      </c>
      <c r="B99" s="7" t="s">
        <v>446</v>
      </c>
      <c r="C99" s="7" t="s">
        <v>447</v>
      </c>
      <c r="D99" s="7" t="s">
        <v>46</v>
      </c>
      <c r="E99" s="9" t="s">
        <v>71</v>
      </c>
      <c r="F99" s="7"/>
      <c r="G99" s="7"/>
      <c r="H99" s="7" t="s">
        <v>448</v>
      </c>
      <c r="I99" s="7"/>
      <c r="J99" s="7" t="s">
        <v>449</v>
      </c>
      <c r="K99" s="7" t="s">
        <v>95</v>
      </c>
      <c r="L99" s="7" t="s">
        <v>450</v>
      </c>
      <c r="M99" s="7" t="s">
        <v>451</v>
      </c>
    </row>
    <row r="100" customFormat="false" ht="15" hidden="false" customHeight="true" outlineLevel="0" collapsed="false">
      <c r="A100" s="7" t="s">
        <v>43</v>
      </c>
      <c r="B100" s="7" t="s">
        <v>446</v>
      </c>
      <c r="C100" s="7" t="s">
        <v>452</v>
      </c>
      <c r="D100" s="7" t="s">
        <v>46</v>
      </c>
      <c r="E100" s="10" t="s">
        <v>62</v>
      </c>
      <c r="F100" s="7"/>
      <c r="G100" s="7"/>
      <c r="H100" s="7" t="s">
        <v>453</v>
      </c>
      <c r="I100" s="7"/>
      <c r="J100" s="7" t="s">
        <v>449</v>
      </c>
      <c r="K100" s="7" t="s">
        <v>57</v>
      </c>
      <c r="L100" s="7" t="s">
        <v>454</v>
      </c>
      <c r="M100" s="7" t="s">
        <v>455</v>
      </c>
    </row>
    <row r="101" customFormat="false" ht="15" hidden="false" customHeight="true" outlineLevel="0" collapsed="false">
      <c r="A101" s="7" t="s">
        <v>43</v>
      </c>
      <c r="B101" s="7" t="s">
        <v>456</v>
      </c>
      <c r="C101" s="7" t="s">
        <v>457</v>
      </c>
      <c r="D101" s="7" t="s">
        <v>46</v>
      </c>
      <c r="E101" s="10" t="s">
        <v>62</v>
      </c>
      <c r="F101" s="7"/>
      <c r="G101" s="7"/>
      <c r="H101" s="7" t="s">
        <v>458</v>
      </c>
      <c r="I101" s="7" t="s">
        <v>459</v>
      </c>
      <c r="J101" s="7" t="s">
        <v>460</v>
      </c>
      <c r="K101" s="7" t="s">
        <v>461</v>
      </c>
      <c r="L101" s="7" t="s">
        <v>462</v>
      </c>
      <c r="M101" s="7" t="s">
        <v>463</v>
      </c>
    </row>
    <row r="102" customFormat="false" ht="15" hidden="false" customHeight="true" outlineLevel="0" collapsed="false">
      <c r="A102" s="7" t="s">
        <v>43</v>
      </c>
      <c r="B102" s="7" t="s">
        <v>456</v>
      </c>
      <c r="C102" s="7" t="s">
        <v>464</v>
      </c>
      <c r="D102" s="7" t="s">
        <v>46</v>
      </c>
      <c r="E102" s="9" t="s">
        <v>71</v>
      </c>
      <c r="F102" s="7"/>
      <c r="G102" s="7"/>
      <c r="H102" s="7" t="s">
        <v>465</v>
      </c>
      <c r="I102" s="7" t="s">
        <v>466</v>
      </c>
      <c r="J102" s="7" t="s">
        <v>460</v>
      </c>
      <c r="K102" s="7" t="s">
        <v>467</v>
      </c>
      <c r="L102" s="7" t="s">
        <v>462</v>
      </c>
      <c r="M102" s="7" t="s">
        <v>468</v>
      </c>
    </row>
    <row r="103" customFormat="false" ht="15" hidden="false" customHeight="true" outlineLevel="0" collapsed="false">
      <c r="A103" s="7" t="s">
        <v>43</v>
      </c>
      <c r="B103" s="7" t="s">
        <v>469</v>
      </c>
      <c r="C103" s="7" t="s">
        <v>232</v>
      </c>
      <c r="D103" s="7" t="s">
        <v>46</v>
      </c>
      <c r="E103" s="10" t="s">
        <v>62</v>
      </c>
      <c r="F103" s="7"/>
      <c r="G103" s="7"/>
      <c r="H103" s="7"/>
      <c r="I103" s="7"/>
      <c r="J103" s="7" t="s">
        <v>470</v>
      </c>
      <c r="K103" s="7" t="s">
        <v>112</v>
      </c>
      <c r="L103" s="7" t="s">
        <v>65</v>
      </c>
      <c r="M103" s="7" t="s">
        <v>471</v>
      </c>
    </row>
    <row r="104" customFormat="false" ht="15" hidden="false" customHeight="true" outlineLevel="0" collapsed="false">
      <c r="A104" s="7" t="s">
        <v>43</v>
      </c>
      <c r="B104" s="7" t="s">
        <v>469</v>
      </c>
      <c r="C104" s="7" t="s">
        <v>472</v>
      </c>
      <c r="D104" s="7" t="s">
        <v>46</v>
      </c>
      <c r="E104" s="8" t="s">
        <v>71</v>
      </c>
      <c r="F104" s="7"/>
      <c r="G104" s="7"/>
      <c r="H104" s="7" t="s">
        <v>473</v>
      </c>
      <c r="I104" s="7"/>
      <c r="J104" s="7" t="s">
        <v>470</v>
      </c>
      <c r="K104" s="7" t="s">
        <v>57</v>
      </c>
      <c r="L104" s="7" t="s">
        <v>474</v>
      </c>
      <c r="M104" s="7" t="s">
        <v>475</v>
      </c>
    </row>
    <row r="105" customFormat="false" ht="15" hidden="false" customHeight="true" outlineLevel="0" collapsed="false">
      <c r="A105" s="7" t="s">
        <v>43</v>
      </c>
      <c r="B105" s="7" t="s">
        <v>476</v>
      </c>
      <c r="C105" s="7" t="s">
        <v>477</v>
      </c>
      <c r="D105" s="7" t="s">
        <v>46</v>
      </c>
      <c r="E105" s="9" t="s">
        <v>71</v>
      </c>
      <c r="F105" s="7"/>
      <c r="G105" s="7"/>
      <c r="H105" s="7" t="s">
        <v>478</v>
      </c>
      <c r="I105" s="7"/>
      <c r="J105" s="7" t="s">
        <v>479</v>
      </c>
      <c r="K105" s="7" t="s">
        <v>57</v>
      </c>
      <c r="L105" s="7" t="s">
        <v>480</v>
      </c>
      <c r="M105" s="7" t="s">
        <v>481</v>
      </c>
    </row>
    <row r="106" customFormat="false" ht="15" hidden="false" customHeight="true" outlineLevel="0" collapsed="false">
      <c r="A106" s="7" t="s">
        <v>43</v>
      </c>
      <c r="B106" s="7" t="s">
        <v>476</v>
      </c>
      <c r="C106" s="7" t="s">
        <v>232</v>
      </c>
      <c r="D106" s="7" t="s">
        <v>46</v>
      </c>
      <c r="E106" s="10" t="s">
        <v>62</v>
      </c>
      <c r="F106" s="7"/>
      <c r="G106" s="7"/>
      <c r="H106" s="7" t="s">
        <v>478</v>
      </c>
      <c r="I106" s="7"/>
      <c r="J106" s="7" t="s">
        <v>479</v>
      </c>
      <c r="K106" s="7" t="s">
        <v>57</v>
      </c>
      <c r="L106" s="7" t="s">
        <v>480</v>
      </c>
      <c r="M106" s="7" t="s">
        <v>482</v>
      </c>
    </row>
    <row r="107" customFormat="false" ht="15" hidden="false" customHeight="true" outlineLevel="0" collapsed="false">
      <c r="A107" s="7" t="s">
        <v>43</v>
      </c>
      <c r="B107" s="7" t="s">
        <v>476</v>
      </c>
      <c r="C107" s="7" t="s">
        <v>483</v>
      </c>
      <c r="D107" s="7" t="s">
        <v>46</v>
      </c>
      <c r="E107" s="9" t="s">
        <v>71</v>
      </c>
      <c r="F107" s="7"/>
      <c r="G107" s="7"/>
      <c r="H107" s="7"/>
      <c r="I107" s="7"/>
      <c r="J107" s="7" t="s">
        <v>479</v>
      </c>
      <c r="K107" s="7" t="s">
        <v>112</v>
      </c>
      <c r="L107" s="7" t="s">
        <v>65</v>
      </c>
      <c r="M107" s="7" t="s">
        <v>484</v>
      </c>
    </row>
    <row r="108" customFormat="false" ht="15" hidden="false" customHeight="true" outlineLevel="0" collapsed="false">
      <c r="A108" s="7" t="s">
        <v>43</v>
      </c>
      <c r="B108" s="7" t="s">
        <v>476</v>
      </c>
      <c r="C108" s="7" t="s">
        <v>485</v>
      </c>
      <c r="D108" s="7" t="s">
        <v>46</v>
      </c>
      <c r="E108" s="9" t="s">
        <v>71</v>
      </c>
      <c r="F108" s="7"/>
      <c r="G108" s="7"/>
      <c r="H108" s="7"/>
      <c r="I108" s="7"/>
      <c r="J108" s="7" t="s">
        <v>479</v>
      </c>
      <c r="K108" s="7" t="s">
        <v>112</v>
      </c>
      <c r="L108" s="7" t="s">
        <v>65</v>
      </c>
      <c r="M108" s="7" t="s">
        <v>486</v>
      </c>
    </row>
    <row r="109" customFormat="false" ht="15" hidden="false" customHeight="true" outlineLevel="0" collapsed="false">
      <c r="A109" s="7" t="s">
        <v>43</v>
      </c>
      <c r="B109" s="7" t="s">
        <v>487</v>
      </c>
      <c r="C109" s="7" t="s">
        <v>488</v>
      </c>
      <c r="D109" s="7" t="s">
        <v>46</v>
      </c>
      <c r="E109" s="10" t="s">
        <v>71</v>
      </c>
      <c r="F109" s="7"/>
      <c r="G109" s="7"/>
      <c r="H109" s="7" t="s">
        <v>489</v>
      </c>
      <c r="I109" s="7"/>
      <c r="J109" s="7" t="s">
        <v>490</v>
      </c>
      <c r="K109" s="7" t="s">
        <v>57</v>
      </c>
      <c r="L109" s="7" t="s">
        <v>491</v>
      </c>
      <c r="M109" s="7" t="s">
        <v>492</v>
      </c>
    </row>
    <row r="110" customFormat="false" ht="15" hidden="false" customHeight="true" outlineLevel="0" collapsed="false">
      <c r="A110" s="7" t="s">
        <v>43</v>
      </c>
      <c r="B110" s="7" t="s">
        <v>487</v>
      </c>
      <c r="C110" s="7" t="s">
        <v>493</v>
      </c>
      <c r="D110" s="7" t="s">
        <v>46</v>
      </c>
      <c r="E110" s="9" t="s">
        <v>71</v>
      </c>
      <c r="F110" s="7"/>
      <c r="G110" s="7"/>
      <c r="H110" s="7"/>
      <c r="I110" s="7"/>
      <c r="J110" s="7" t="s">
        <v>490</v>
      </c>
      <c r="K110" s="7" t="s">
        <v>85</v>
      </c>
      <c r="L110" s="7" t="s">
        <v>494</v>
      </c>
      <c r="M110" s="7" t="s">
        <v>495</v>
      </c>
    </row>
    <row r="111" customFormat="false" ht="15" hidden="false" customHeight="true" outlineLevel="0" collapsed="false">
      <c r="A111" s="7" t="s">
        <v>43</v>
      </c>
      <c r="B111" s="7" t="s">
        <v>487</v>
      </c>
      <c r="C111" s="7" t="s">
        <v>496</v>
      </c>
      <c r="D111" s="7" t="s">
        <v>46</v>
      </c>
      <c r="E111" s="9" t="s">
        <v>71</v>
      </c>
      <c r="F111" s="7"/>
      <c r="G111" s="7"/>
      <c r="H111" s="7" t="s">
        <v>489</v>
      </c>
      <c r="I111" s="7"/>
      <c r="J111" s="7" t="s">
        <v>490</v>
      </c>
      <c r="K111" s="7" t="s">
        <v>497</v>
      </c>
      <c r="L111" s="7" t="s">
        <v>491</v>
      </c>
      <c r="M111" s="7" t="s">
        <v>498</v>
      </c>
    </row>
    <row r="112" customFormat="false" ht="15" hidden="false" customHeight="true" outlineLevel="0" collapsed="false">
      <c r="A112" s="7" t="s">
        <v>43</v>
      </c>
      <c r="B112" s="7" t="s">
        <v>487</v>
      </c>
      <c r="C112" s="7" t="s">
        <v>499</v>
      </c>
      <c r="D112" s="7" t="s">
        <v>46</v>
      </c>
      <c r="E112" s="9" t="s">
        <v>71</v>
      </c>
      <c r="F112" s="7"/>
      <c r="G112" s="7"/>
      <c r="H112" s="7" t="s">
        <v>500</v>
      </c>
      <c r="I112" s="7"/>
      <c r="J112" s="7" t="s">
        <v>490</v>
      </c>
      <c r="K112" s="7" t="s">
        <v>57</v>
      </c>
      <c r="L112" s="7" t="s">
        <v>491</v>
      </c>
      <c r="M112" s="7" t="s">
        <v>501</v>
      </c>
    </row>
    <row r="113" customFormat="false" ht="15" hidden="false" customHeight="true" outlineLevel="0" collapsed="false">
      <c r="A113" s="7" t="s">
        <v>43</v>
      </c>
      <c r="B113" s="7" t="s">
        <v>487</v>
      </c>
      <c r="C113" s="7" t="s">
        <v>502</v>
      </c>
      <c r="D113" s="7" t="s">
        <v>46</v>
      </c>
      <c r="E113" s="9" t="s">
        <v>71</v>
      </c>
      <c r="F113" s="7"/>
      <c r="G113" s="7"/>
      <c r="H113" s="7" t="s">
        <v>503</v>
      </c>
      <c r="I113" s="7"/>
      <c r="J113" s="7" t="s">
        <v>490</v>
      </c>
      <c r="K113" s="7" t="s">
        <v>504</v>
      </c>
      <c r="L113" s="7" t="s">
        <v>491</v>
      </c>
      <c r="M113" s="7" t="s">
        <v>505</v>
      </c>
    </row>
    <row r="114" customFormat="false" ht="15" hidden="false" customHeight="true" outlineLevel="0" collapsed="false">
      <c r="A114" s="7" t="s">
        <v>43</v>
      </c>
      <c r="B114" s="7" t="s">
        <v>487</v>
      </c>
      <c r="C114" s="7" t="s">
        <v>506</v>
      </c>
      <c r="D114" s="7" t="s">
        <v>46</v>
      </c>
      <c r="E114" s="9" t="s">
        <v>47</v>
      </c>
      <c r="F114" s="7"/>
      <c r="G114" s="7"/>
      <c r="H114" s="7" t="s">
        <v>507</v>
      </c>
      <c r="I114" s="7"/>
      <c r="J114" s="7" t="s">
        <v>490</v>
      </c>
      <c r="K114" s="7" t="s">
        <v>504</v>
      </c>
      <c r="L114" s="7" t="s">
        <v>491</v>
      </c>
      <c r="M114" s="7" t="s">
        <v>508</v>
      </c>
    </row>
    <row r="115" customFormat="false" ht="15" hidden="false" customHeight="true" outlineLevel="0" collapsed="false">
      <c r="A115" s="7" t="s">
        <v>43</v>
      </c>
      <c r="B115" s="7" t="s">
        <v>509</v>
      </c>
      <c r="C115" s="7" t="s">
        <v>510</v>
      </c>
      <c r="D115" s="7" t="s">
        <v>46</v>
      </c>
      <c r="E115" s="10" t="s">
        <v>62</v>
      </c>
      <c r="F115" s="7"/>
      <c r="G115" s="7"/>
      <c r="H115" s="7" t="s">
        <v>511</v>
      </c>
      <c r="I115" s="7"/>
      <c r="J115" s="7" t="s">
        <v>512</v>
      </c>
      <c r="K115" s="7" t="s">
        <v>513</v>
      </c>
      <c r="L115" s="7" t="s">
        <v>514</v>
      </c>
      <c r="M115" s="7" t="s">
        <v>515</v>
      </c>
    </row>
    <row r="116" customFormat="false" ht="15" hidden="false" customHeight="true" outlineLevel="0" collapsed="false">
      <c r="A116" s="7" t="s">
        <v>43</v>
      </c>
      <c r="B116" s="7" t="s">
        <v>509</v>
      </c>
      <c r="C116" s="7" t="s">
        <v>516</v>
      </c>
      <c r="D116" s="7" t="s">
        <v>46</v>
      </c>
      <c r="E116" s="9" t="s">
        <v>71</v>
      </c>
      <c r="F116" s="7"/>
      <c r="G116" s="7"/>
      <c r="H116" s="7" t="s">
        <v>511</v>
      </c>
      <c r="I116" s="7"/>
      <c r="J116" s="7" t="s">
        <v>512</v>
      </c>
      <c r="K116" s="7" t="s">
        <v>517</v>
      </c>
      <c r="L116" s="7" t="s">
        <v>518</v>
      </c>
      <c r="M116" s="7" t="s">
        <v>519</v>
      </c>
    </row>
    <row r="117" customFormat="false" ht="15" hidden="false" customHeight="true" outlineLevel="0" collapsed="false">
      <c r="A117" s="7" t="s">
        <v>43</v>
      </c>
      <c r="B117" s="7" t="s">
        <v>509</v>
      </c>
      <c r="C117" s="7" t="s">
        <v>520</v>
      </c>
      <c r="D117" s="7" t="s">
        <v>46</v>
      </c>
      <c r="E117" s="9" t="s">
        <v>71</v>
      </c>
      <c r="F117" s="7"/>
      <c r="G117" s="7"/>
      <c r="H117" s="7" t="s">
        <v>521</v>
      </c>
      <c r="I117" s="7"/>
      <c r="J117" s="7" t="s">
        <v>512</v>
      </c>
      <c r="K117" s="7" t="s">
        <v>517</v>
      </c>
      <c r="L117" s="7" t="s">
        <v>514</v>
      </c>
      <c r="M117" s="7" t="s">
        <v>522</v>
      </c>
    </row>
    <row r="118" customFormat="false" ht="15" hidden="false" customHeight="true" outlineLevel="0" collapsed="false">
      <c r="A118" s="7" t="s">
        <v>43</v>
      </c>
      <c r="B118" s="7" t="s">
        <v>509</v>
      </c>
      <c r="C118" s="7" t="s">
        <v>523</v>
      </c>
      <c r="D118" s="7" t="s">
        <v>46</v>
      </c>
      <c r="E118" s="10" t="s">
        <v>62</v>
      </c>
      <c r="F118" s="7"/>
      <c r="G118" s="7"/>
      <c r="H118" s="7" t="s">
        <v>524</v>
      </c>
      <c r="I118" s="7"/>
      <c r="J118" s="7" t="s">
        <v>512</v>
      </c>
      <c r="K118" s="7" t="s">
        <v>517</v>
      </c>
      <c r="L118" s="7" t="s">
        <v>514</v>
      </c>
      <c r="M118" s="7" t="s">
        <v>525</v>
      </c>
    </row>
    <row r="119" customFormat="false" ht="15" hidden="false" customHeight="true" outlineLevel="0" collapsed="false">
      <c r="A119" s="7" t="s">
        <v>43</v>
      </c>
      <c r="B119" s="7" t="s">
        <v>509</v>
      </c>
      <c r="C119" s="7" t="s">
        <v>526</v>
      </c>
      <c r="D119" s="7" t="s">
        <v>46</v>
      </c>
      <c r="E119" s="9" t="s">
        <v>62</v>
      </c>
      <c r="F119" s="7"/>
      <c r="G119" s="7"/>
      <c r="H119" s="7" t="s">
        <v>527</v>
      </c>
      <c r="I119" s="7"/>
      <c r="J119" s="7" t="s">
        <v>512</v>
      </c>
      <c r="K119" s="7" t="s">
        <v>517</v>
      </c>
      <c r="L119" s="7" t="s">
        <v>514</v>
      </c>
      <c r="M119" s="7" t="s">
        <v>528</v>
      </c>
    </row>
    <row r="120" customFormat="false" ht="15" hidden="false" customHeight="true" outlineLevel="0" collapsed="false">
      <c r="A120" s="7" t="s">
        <v>43</v>
      </c>
      <c r="B120" s="7" t="s">
        <v>529</v>
      </c>
      <c r="C120" s="7" t="s">
        <v>530</v>
      </c>
      <c r="D120" s="7" t="s">
        <v>46</v>
      </c>
      <c r="E120" s="9" t="s">
        <v>71</v>
      </c>
      <c r="F120" s="7"/>
      <c r="G120" s="7"/>
      <c r="H120" s="7" t="s">
        <v>531</v>
      </c>
      <c r="I120" s="7"/>
      <c r="J120" s="7" t="s">
        <v>532</v>
      </c>
      <c r="K120" s="7" t="s">
        <v>95</v>
      </c>
      <c r="L120" s="7" t="s">
        <v>533</v>
      </c>
      <c r="M120" s="7" t="s">
        <v>534</v>
      </c>
    </row>
    <row r="121" customFormat="false" ht="15" hidden="false" customHeight="true" outlineLevel="0" collapsed="false">
      <c r="A121" s="7" t="s">
        <v>43</v>
      </c>
      <c r="B121" s="7" t="s">
        <v>535</v>
      </c>
      <c r="C121" s="7" t="s">
        <v>45</v>
      </c>
      <c r="D121" s="7" t="s">
        <v>46</v>
      </c>
      <c r="E121" s="9" t="s">
        <v>71</v>
      </c>
      <c r="F121" s="7"/>
      <c r="G121" s="7"/>
      <c r="H121" s="7"/>
      <c r="I121" s="7"/>
      <c r="J121" s="7" t="s">
        <v>536</v>
      </c>
      <c r="K121" s="7" t="s">
        <v>64</v>
      </c>
      <c r="L121" s="7" t="s">
        <v>65</v>
      </c>
      <c r="M121" s="7" t="s">
        <v>537</v>
      </c>
    </row>
    <row r="122" customFormat="false" ht="15" hidden="false" customHeight="true" outlineLevel="0" collapsed="false">
      <c r="A122" s="7" t="s">
        <v>43</v>
      </c>
      <c r="B122" s="7" t="s">
        <v>535</v>
      </c>
      <c r="C122" s="7" t="s">
        <v>538</v>
      </c>
      <c r="D122" s="7" t="s">
        <v>46</v>
      </c>
      <c r="E122" s="10" t="s">
        <v>62</v>
      </c>
      <c r="F122" s="7"/>
      <c r="G122" s="7"/>
      <c r="H122" s="7"/>
      <c r="I122" s="7"/>
      <c r="J122" s="7" t="s">
        <v>536</v>
      </c>
      <c r="K122" s="7" t="s">
        <v>64</v>
      </c>
      <c r="L122" s="7" t="s">
        <v>65</v>
      </c>
      <c r="M122" s="7" t="s">
        <v>539</v>
      </c>
    </row>
    <row r="123" customFormat="false" ht="15" hidden="false" customHeight="true" outlineLevel="0" collapsed="false">
      <c r="A123" s="7" t="s">
        <v>43</v>
      </c>
      <c r="B123" s="7" t="s">
        <v>535</v>
      </c>
      <c r="C123" s="7" t="s">
        <v>540</v>
      </c>
      <c r="D123" s="7" t="s">
        <v>46</v>
      </c>
      <c r="E123" s="9" t="s">
        <v>71</v>
      </c>
      <c r="F123" s="7"/>
      <c r="G123" s="7"/>
      <c r="H123" s="7"/>
      <c r="I123" s="7"/>
      <c r="J123" s="7" t="s">
        <v>536</v>
      </c>
      <c r="K123" s="7" t="s">
        <v>64</v>
      </c>
      <c r="L123" s="7" t="s">
        <v>65</v>
      </c>
      <c r="M123" s="7" t="s">
        <v>72</v>
      </c>
    </row>
    <row r="124" customFormat="false" ht="15" hidden="false" customHeight="true" outlineLevel="0" collapsed="false">
      <c r="A124" s="7" t="s">
        <v>43</v>
      </c>
      <c r="B124" s="7" t="s">
        <v>535</v>
      </c>
      <c r="C124" s="7" t="s">
        <v>541</v>
      </c>
      <c r="D124" s="7" t="s">
        <v>46</v>
      </c>
      <c r="E124" s="9" t="s">
        <v>71</v>
      </c>
      <c r="F124" s="7"/>
      <c r="G124" s="7"/>
      <c r="H124" s="7"/>
      <c r="I124" s="7"/>
      <c r="J124" s="7" t="s">
        <v>536</v>
      </c>
      <c r="K124" s="7" t="s">
        <v>64</v>
      </c>
      <c r="L124" s="7" t="s">
        <v>65</v>
      </c>
      <c r="M124" s="7" t="s">
        <v>542</v>
      </c>
    </row>
    <row r="125" customFormat="false" ht="15" hidden="false" customHeight="true" outlineLevel="0" collapsed="false">
      <c r="A125" s="7" t="s">
        <v>43</v>
      </c>
      <c r="B125" s="7" t="s">
        <v>535</v>
      </c>
      <c r="C125" s="7" t="s">
        <v>543</v>
      </c>
      <c r="D125" s="7" t="s">
        <v>46</v>
      </c>
      <c r="E125" s="9" t="s">
        <v>71</v>
      </c>
      <c r="F125" s="7"/>
      <c r="G125" s="7"/>
      <c r="H125" s="7"/>
      <c r="I125" s="7"/>
      <c r="J125" s="7" t="s">
        <v>536</v>
      </c>
      <c r="K125" s="7" t="s">
        <v>64</v>
      </c>
      <c r="L125" s="7" t="s">
        <v>65</v>
      </c>
      <c r="M125" s="7" t="s">
        <v>72</v>
      </c>
    </row>
    <row r="126" customFormat="false" ht="15" hidden="false" customHeight="true" outlineLevel="0" collapsed="false">
      <c r="A126" s="7" t="s">
        <v>43</v>
      </c>
      <c r="B126" s="7" t="s">
        <v>535</v>
      </c>
      <c r="C126" s="7" t="s">
        <v>544</v>
      </c>
      <c r="D126" s="7" t="s">
        <v>46</v>
      </c>
      <c r="E126" s="9" t="s">
        <v>71</v>
      </c>
      <c r="F126" s="7"/>
      <c r="G126" s="7"/>
      <c r="H126" s="7"/>
      <c r="I126" s="7"/>
      <c r="J126" s="7" t="s">
        <v>536</v>
      </c>
      <c r="K126" s="7" t="s">
        <v>64</v>
      </c>
      <c r="L126" s="7" t="s">
        <v>65</v>
      </c>
      <c r="M126" s="7" t="s">
        <v>72</v>
      </c>
    </row>
    <row r="127" customFormat="false" ht="15" hidden="false" customHeight="true" outlineLevel="0" collapsed="false">
      <c r="A127" s="7" t="s">
        <v>43</v>
      </c>
      <c r="B127" s="7" t="s">
        <v>535</v>
      </c>
      <c r="C127" s="7" t="s">
        <v>545</v>
      </c>
      <c r="D127" s="7" t="s">
        <v>46</v>
      </c>
      <c r="E127" s="10" t="s">
        <v>62</v>
      </c>
      <c r="F127" s="7"/>
      <c r="G127" s="7"/>
      <c r="H127" s="7"/>
      <c r="I127" s="7"/>
      <c r="J127" s="7" t="s">
        <v>536</v>
      </c>
      <c r="K127" s="7" t="s">
        <v>64</v>
      </c>
      <c r="L127" s="7" t="s">
        <v>65</v>
      </c>
      <c r="M127" s="7" t="s">
        <v>546</v>
      </c>
    </row>
    <row r="128" customFormat="false" ht="15" hidden="false" customHeight="true" outlineLevel="0" collapsed="false">
      <c r="A128" s="7" t="s">
        <v>43</v>
      </c>
      <c r="B128" s="7" t="s">
        <v>535</v>
      </c>
      <c r="C128" s="7" t="s">
        <v>547</v>
      </c>
      <c r="D128" s="7" t="s">
        <v>46</v>
      </c>
      <c r="E128" s="9" t="s">
        <v>71</v>
      </c>
      <c r="F128" s="7"/>
      <c r="G128" s="7"/>
      <c r="H128" s="7"/>
      <c r="I128" s="7"/>
      <c r="J128" s="7" t="s">
        <v>536</v>
      </c>
      <c r="K128" s="7" t="s">
        <v>64</v>
      </c>
      <c r="L128" s="7" t="s">
        <v>65</v>
      </c>
      <c r="M128" s="7" t="s">
        <v>72</v>
      </c>
    </row>
    <row r="129" customFormat="false" ht="15" hidden="false" customHeight="true" outlineLevel="0" collapsed="false">
      <c r="A129" s="7" t="s">
        <v>43</v>
      </c>
      <c r="B129" s="7" t="s">
        <v>548</v>
      </c>
      <c r="C129" s="7" t="s">
        <v>549</v>
      </c>
      <c r="D129" s="7" t="s">
        <v>46</v>
      </c>
      <c r="E129" s="10" t="s">
        <v>62</v>
      </c>
      <c r="F129" s="7"/>
      <c r="G129" s="7"/>
      <c r="H129" s="7" t="s">
        <v>550</v>
      </c>
      <c r="I129" s="7"/>
      <c r="J129" s="7" t="s">
        <v>551</v>
      </c>
      <c r="K129" s="7" t="s">
        <v>57</v>
      </c>
      <c r="L129" s="7" t="s">
        <v>552</v>
      </c>
      <c r="M129" s="7" t="s">
        <v>553</v>
      </c>
    </row>
    <row r="130" customFormat="false" ht="15" hidden="false" customHeight="true" outlineLevel="0" collapsed="false">
      <c r="A130" s="7" t="s">
        <v>43</v>
      </c>
      <c r="B130" s="7" t="s">
        <v>548</v>
      </c>
      <c r="C130" s="7" t="s">
        <v>554</v>
      </c>
      <c r="D130" s="7" t="s">
        <v>74</v>
      </c>
      <c r="E130" s="10" t="s">
        <v>62</v>
      </c>
      <c r="F130" s="7"/>
      <c r="G130" s="7"/>
      <c r="H130" s="7" t="s">
        <v>555</v>
      </c>
      <c r="I130" s="7"/>
      <c r="J130" s="7" t="s">
        <v>556</v>
      </c>
      <c r="K130" s="7" t="s">
        <v>57</v>
      </c>
      <c r="L130" s="7" t="s">
        <v>65</v>
      </c>
      <c r="M130" s="7" t="s">
        <v>557</v>
      </c>
    </row>
    <row r="131" customFormat="false" ht="15" hidden="false" customHeight="true" outlineLevel="0" collapsed="false">
      <c r="A131" s="7" t="s">
        <v>43</v>
      </c>
      <c r="B131" s="7" t="s">
        <v>548</v>
      </c>
      <c r="C131" s="7" t="s">
        <v>558</v>
      </c>
      <c r="D131" s="7" t="s">
        <v>74</v>
      </c>
      <c r="E131" s="10" t="s">
        <v>62</v>
      </c>
      <c r="F131" s="7"/>
      <c r="G131" s="7"/>
      <c r="H131" s="7" t="s">
        <v>555</v>
      </c>
      <c r="I131" s="7"/>
      <c r="J131" s="7" t="s">
        <v>556</v>
      </c>
      <c r="K131" s="7" t="s">
        <v>559</v>
      </c>
      <c r="L131" s="7" t="s">
        <v>65</v>
      </c>
      <c r="M131" s="7" t="s">
        <v>560</v>
      </c>
    </row>
    <row r="132" customFormat="false" ht="15" hidden="false" customHeight="true" outlineLevel="0" collapsed="false">
      <c r="A132" s="7" t="s">
        <v>43</v>
      </c>
      <c r="B132" s="7" t="s">
        <v>561</v>
      </c>
      <c r="C132" s="7" t="s">
        <v>562</v>
      </c>
      <c r="D132" s="7" t="s">
        <v>46</v>
      </c>
      <c r="E132" s="9" t="s">
        <v>71</v>
      </c>
      <c r="F132" s="7"/>
      <c r="G132" s="7"/>
      <c r="H132" s="7" t="s">
        <v>563</v>
      </c>
      <c r="I132" s="7"/>
      <c r="J132" s="7" t="s">
        <v>564</v>
      </c>
      <c r="K132" s="7" t="s">
        <v>90</v>
      </c>
      <c r="L132" s="7" t="s">
        <v>565</v>
      </c>
      <c r="M132" s="7" t="s">
        <v>566</v>
      </c>
    </row>
    <row r="133" customFormat="false" ht="15" hidden="false" customHeight="true" outlineLevel="0" collapsed="false">
      <c r="A133" s="7" t="s">
        <v>43</v>
      </c>
      <c r="B133" s="7" t="s">
        <v>561</v>
      </c>
      <c r="C133" s="7" t="s">
        <v>567</v>
      </c>
      <c r="D133" s="7" t="s">
        <v>46</v>
      </c>
      <c r="E133" s="9" t="s">
        <v>71</v>
      </c>
      <c r="F133" s="7"/>
      <c r="G133" s="7"/>
      <c r="H133" s="7"/>
      <c r="I133" s="7"/>
      <c r="J133" s="7" t="s">
        <v>564</v>
      </c>
      <c r="K133" s="7" t="s">
        <v>85</v>
      </c>
      <c r="L133" s="7" t="s">
        <v>65</v>
      </c>
      <c r="M133" s="7" t="s">
        <v>568</v>
      </c>
    </row>
    <row r="134" customFormat="false" ht="15" hidden="false" customHeight="true" outlineLevel="0" collapsed="false">
      <c r="A134" s="7" t="s">
        <v>43</v>
      </c>
      <c r="B134" s="7" t="s">
        <v>569</v>
      </c>
      <c r="C134" s="7" t="s">
        <v>570</v>
      </c>
      <c r="D134" s="7" t="s">
        <v>46</v>
      </c>
      <c r="E134" s="9" t="s">
        <v>71</v>
      </c>
      <c r="F134" s="7"/>
      <c r="G134" s="7"/>
      <c r="H134" s="7" t="s">
        <v>571</v>
      </c>
      <c r="I134" s="7"/>
      <c r="J134" s="7" t="s">
        <v>572</v>
      </c>
      <c r="K134" s="7" t="s">
        <v>57</v>
      </c>
      <c r="L134" s="7" t="s">
        <v>573</v>
      </c>
      <c r="M134" s="7" t="s">
        <v>574</v>
      </c>
    </row>
    <row r="135" customFormat="false" ht="15" hidden="false" customHeight="true" outlineLevel="0" collapsed="false">
      <c r="A135" s="7" t="s">
        <v>43</v>
      </c>
      <c r="B135" s="7" t="s">
        <v>569</v>
      </c>
      <c r="C135" s="7" t="s">
        <v>575</v>
      </c>
      <c r="D135" s="7" t="s">
        <v>46</v>
      </c>
      <c r="E135" s="9" t="s">
        <v>71</v>
      </c>
      <c r="F135" s="7"/>
      <c r="G135" s="7"/>
      <c r="H135" s="7" t="s">
        <v>576</v>
      </c>
      <c r="I135" s="7"/>
      <c r="J135" s="7" t="s">
        <v>572</v>
      </c>
      <c r="K135" s="7" t="s">
        <v>57</v>
      </c>
      <c r="L135" s="7" t="s">
        <v>577</v>
      </c>
      <c r="M135" s="7" t="s">
        <v>578</v>
      </c>
    </row>
    <row r="136" customFormat="false" ht="15" hidden="false" customHeight="true" outlineLevel="0" collapsed="false">
      <c r="A136" s="7" t="s">
        <v>43</v>
      </c>
      <c r="B136" s="7" t="s">
        <v>569</v>
      </c>
      <c r="C136" s="7" t="s">
        <v>579</v>
      </c>
      <c r="D136" s="7" t="s">
        <v>46</v>
      </c>
      <c r="E136" s="9" t="s">
        <v>71</v>
      </c>
      <c r="F136" s="7"/>
      <c r="G136" s="7"/>
      <c r="H136" s="7"/>
      <c r="I136" s="7"/>
      <c r="J136" s="7" t="s">
        <v>572</v>
      </c>
      <c r="K136" s="7" t="s">
        <v>90</v>
      </c>
      <c r="L136" s="7" t="s">
        <v>65</v>
      </c>
      <c r="M136" s="7" t="s">
        <v>580</v>
      </c>
    </row>
    <row r="137" customFormat="false" ht="15" hidden="false" customHeight="true" outlineLevel="0" collapsed="false">
      <c r="A137" s="7" t="s">
        <v>43</v>
      </c>
      <c r="B137" s="7" t="s">
        <v>569</v>
      </c>
      <c r="C137" s="7" t="s">
        <v>581</v>
      </c>
      <c r="D137" s="7" t="s">
        <v>46</v>
      </c>
      <c r="E137" s="9" t="s">
        <v>71</v>
      </c>
      <c r="F137" s="7"/>
      <c r="G137" s="7"/>
      <c r="H137" s="7" t="s">
        <v>582</v>
      </c>
      <c r="I137" s="7"/>
      <c r="J137" s="7" t="s">
        <v>572</v>
      </c>
      <c r="K137" s="7" t="s">
        <v>57</v>
      </c>
      <c r="L137" s="7" t="s">
        <v>583</v>
      </c>
      <c r="M137" s="7" t="s">
        <v>584</v>
      </c>
    </row>
    <row r="138" customFormat="false" ht="15" hidden="false" customHeight="true" outlineLevel="0" collapsed="false">
      <c r="A138" s="7" t="s">
        <v>43</v>
      </c>
      <c r="B138" s="7" t="s">
        <v>569</v>
      </c>
      <c r="C138" s="7" t="s">
        <v>585</v>
      </c>
      <c r="D138" s="7" t="s">
        <v>74</v>
      </c>
      <c r="E138" s="10" t="s">
        <v>62</v>
      </c>
      <c r="F138" s="7"/>
      <c r="G138" s="7"/>
      <c r="H138" s="7"/>
      <c r="I138" s="7"/>
      <c r="J138" s="7" t="s">
        <v>572</v>
      </c>
      <c r="K138" s="7" t="s">
        <v>64</v>
      </c>
      <c r="L138" s="7" t="s">
        <v>65</v>
      </c>
      <c r="M138" s="7" t="s">
        <v>586</v>
      </c>
    </row>
    <row r="139" customFormat="false" ht="15" hidden="false" customHeight="true" outlineLevel="0" collapsed="false">
      <c r="A139" s="7" t="s">
        <v>43</v>
      </c>
      <c r="B139" s="7" t="s">
        <v>587</v>
      </c>
      <c r="C139" s="7" t="s">
        <v>588</v>
      </c>
      <c r="D139" s="7" t="s">
        <v>46</v>
      </c>
      <c r="E139" s="8" t="s">
        <v>62</v>
      </c>
      <c r="F139" s="7"/>
      <c r="G139" s="7"/>
      <c r="H139" s="7" t="s">
        <v>589</v>
      </c>
      <c r="I139" s="7"/>
      <c r="J139" s="7" t="s">
        <v>590</v>
      </c>
      <c r="K139" s="7" t="s">
        <v>57</v>
      </c>
      <c r="L139" s="7" t="s">
        <v>591</v>
      </c>
      <c r="M139" s="7" t="s">
        <v>592</v>
      </c>
    </row>
    <row r="140" customFormat="false" ht="15" hidden="false" customHeight="true" outlineLevel="0" collapsed="false">
      <c r="A140" s="7" t="s">
        <v>43</v>
      </c>
      <c r="B140" s="7" t="s">
        <v>587</v>
      </c>
      <c r="C140" s="7" t="s">
        <v>593</v>
      </c>
      <c r="D140" s="7" t="s">
        <v>46</v>
      </c>
      <c r="E140" s="9" t="s">
        <v>71</v>
      </c>
      <c r="F140" s="7"/>
      <c r="G140" s="7"/>
      <c r="H140" s="7" t="s">
        <v>594</v>
      </c>
      <c r="I140" s="7"/>
      <c r="J140" s="7" t="s">
        <v>590</v>
      </c>
      <c r="K140" s="7" t="s">
        <v>57</v>
      </c>
      <c r="L140" s="7" t="s">
        <v>595</v>
      </c>
      <c r="M140" s="7" t="s">
        <v>596</v>
      </c>
    </row>
    <row r="141" customFormat="false" ht="15" hidden="false" customHeight="true" outlineLevel="0" collapsed="false">
      <c r="A141" s="7" t="s">
        <v>43</v>
      </c>
      <c r="B141" s="7" t="s">
        <v>597</v>
      </c>
      <c r="C141" s="7" t="s">
        <v>598</v>
      </c>
      <c r="D141" s="7" t="s">
        <v>46</v>
      </c>
      <c r="E141" s="9" t="s">
        <v>201</v>
      </c>
      <c r="F141" s="7"/>
      <c r="G141" s="7"/>
      <c r="H141" s="7"/>
      <c r="I141" s="7"/>
      <c r="J141" s="7" t="s">
        <v>599</v>
      </c>
      <c r="K141" s="7" t="s">
        <v>112</v>
      </c>
      <c r="L141" s="7" t="s">
        <v>600</v>
      </c>
      <c r="M141" s="7" t="s">
        <v>601</v>
      </c>
    </row>
    <row r="142" customFormat="false" ht="15" hidden="false" customHeight="true" outlineLevel="0" collapsed="false">
      <c r="A142" s="7" t="s">
        <v>43</v>
      </c>
      <c r="B142" s="7" t="s">
        <v>602</v>
      </c>
      <c r="C142" s="7" t="s">
        <v>603</v>
      </c>
      <c r="D142" s="7" t="s">
        <v>46</v>
      </c>
      <c r="E142" s="9" t="s">
        <v>71</v>
      </c>
      <c r="F142" s="7"/>
      <c r="G142" s="7"/>
      <c r="H142" s="7" t="s">
        <v>604</v>
      </c>
      <c r="I142" s="7"/>
      <c r="J142" s="7" t="s">
        <v>605</v>
      </c>
      <c r="K142" s="7" t="s">
        <v>57</v>
      </c>
      <c r="L142" s="7" t="s">
        <v>606</v>
      </c>
      <c r="M142" s="7" t="s">
        <v>607</v>
      </c>
    </row>
    <row r="143" customFormat="false" ht="15" hidden="false" customHeight="true" outlineLevel="0" collapsed="false">
      <c r="A143" s="7" t="s">
        <v>43</v>
      </c>
      <c r="B143" s="7" t="s">
        <v>608</v>
      </c>
      <c r="C143" s="7" t="s">
        <v>609</v>
      </c>
      <c r="D143" s="7" t="s">
        <v>46</v>
      </c>
      <c r="E143" s="10" t="s">
        <v>201</v>
      </c>
      <c r="F143" s="7"/>
      <c r="G143" s="7"/>
      <c r="H143" s="7" t="s">
        <v>610</v>
      </c>
      <c r="I143" s="7"/>
      <c r="J143" s="7" t="s">
        <v>611</v>
      </c>
      <c r="K143" s="7" t="s">
        <v>612</v>
      </c>
      <c r="L143" s="7" t="s">
        <v>613</v>
      </c>
      <c r="M143" s="7" t="s">
        <v>614</v>
      </c>
    </row>
    <row r="144" customFormat="false" ht="15" hidden="false" customHeight="true" outlineLevel="0" collapsed="false">
      <c r="A144" s="7" t="s">
        <v>43</v>
      </c>
      <c r="B144" s="7" t="s">
        <v>615</v>
      </c>
      <c r="C144" s="7" t="s">
        <v>616</v>
      </c>
      <c r="D144" s="7" t="s">
        <v>46</v>
      </c>
      <c r="E144" s="10" t="s">
        <v>62</v>
      </c>
      <c r="F144" s="7"/>
      <c r="G144" s="7"/>
      <c r="H144" s="7"/>
      <c r="I144" s="7"/>
      <c r="J144" s="7" t="s">
        <v>617</v>
      </c>
      <c r="K144" s="7" t="s">
        <v>64</v>
      </c>
      <c r="L144" s="7" t="s">
        <v>65</v>
      </c>
      <c r="M144" s="7" t="s">
        <v>618</v>
      </c>
    </row>
    <row r="145" customFormat="false" ht="15" hidden="false" customHeight="true" outlineLevel="0" collapsed="false">
      <c r="A145" s="7" t="s">
        <v>43</v>
      </c>
      <c r="B145" s="7" t="s">
        <v>615</v>
      </c>
      <c r="C145" s="7" t="s">
        <v>619</v>
      </c>
      <c r="D145" s="7" t="s">
        <v>46</v>
      </c>
      <c r="E145" s="10" t="s">
        <v>62</v>
      </c>
      <c r="F145" s="7"/>
      <c r="G145" s="7"/>
      <c r="H145" s="7"/>
      <c r="I145" s="7"/>
      <c r="J145" s="7" t="s">
        <v>617</v>
      </c>
      <c r="K145" s="7" t="s">
        <v>64</v>
      </c>
      <c r="L145" s="7" t="s">
        <v>65</v>
      </c>
      <c r="M145" s="7" t="s">
        <v>618</v>
      </c>
    </row>
    <row r="146" customFormat="false" ht="15" hidden="false" customHeight="true" outlineLevel="0" collapsed="false">
      <c r="A146" s="7" t="s">
        <v>43</v>
      </c>
      <c r="B146" s="7" t="s">
        <v>615</v>
      </c>
      <c r="C146" s="7" t="s">
        <v>620</v>
      </c>
      <c r="D146" s="7" t="s">
        <v>46</v>
      </c>
      <c r="E146" s="10" t="s">
        <v>62</v>
      </c>
      <c r="F146" s="7"/>
      <c r="G146" s="7"/>
      <c r="H146" s="7" t="s">
        <v>621</v>
      </c>
      <c r="I146" s="7"/>
      <c r="J146" s="7" t="s">
        <v>617</v>
      </c>
      <c r="K146" s="7" t="s">
        <v>57</v>
      </c>
      <c r="L146" s="7" t="s">
        <v>622</v>
      </c>
      <c r="M146" s="7" t="s">
        <v>623</v>
      </c>
    </row>
    <row r="147" customFormat="false" ht="15" hidden="false" customHeight="true" outlineLevel="0" collapsed="false">
      <c r="A147" s="7" t="s">
        <v>43</v>
      </c>
      <c r="B147" s="7" t="s">
        <v>615</v>
      </c>
      <c r="C147" s="7" t="s">
        <v>624</v>
      </c>
      <c r="D147" s="7" t="s">
        <v>46</v>
      </c>
      <c r="E147" s="9" t="s">
        <v>71</v>
      </c>
      <c r="F147" s="7" t="s">
        <v>625</v>
      </c>
      <c r="G147" s="7" t="s">
        <v>626</v>
      </c>
      <c r="H147" s="7" t="s">
        <v>627</v>
      </c>
      <c r="I147" s="7" t="s">
        <v>628</v>
      </c>
      <c r="J147" s="7" t="s">
        <v>617</v>
      </c>
      <c r="K147" s="7" t="s">
        <v>57</v>
      </c>
      <c r="L147" s="7" t="s">
        <v>629</v>
      </c>
      <c r="M147" s="7" t="s">
        <v>630</v>
      </c>
    </row>
    <row r="148" customFormat="false" ht="15" hidden="false" customHeight="true" outlineLevel="0" collapsed="false">
      <c r="A148" s="7" t="s">
        <v>43</v>
      </c>
      <c r="B148" s="7" t="s">
        <v>631</v>
      </c>
      <c r="C148" s="7" t="s">
        <v>632</v>
      </c>
      <c r="D148" s="7" t="s">
        <v>46</v>
      </c>
      <c r="E148" s="9" t="s">
        <v>71</v>
      </c>
      <c r="F148" s="7" t="s">
        <v>633</v>
      </c>
      <c r="G148" s="7"/>
      <c r="H148" s="7" t="s">
        <v>634</v>
      </c>
      <c r="I148" s="7"/>
      <c r="J148" s="7" t="s">
        <v>635</v>
      </c>
      <c r="K148" s="7" t="s">
        <v>57</v>
      </c>
      <c r="L148" s="7" t="s">
        <v>636</v>
      </c>
      <c r="M148" s="7" t="s">
        <v>637</v>
      </c>
    </row>
    <row r="149" customFormat="false" ht="15" hidden="false" customHeight="true" outlineLevel="0" collapsed="false">
      <c r="A149" s="7" t="s">
        <v>43</v>
      </c>
      <c r="B149" s="7" t="s">
        <v>638</v>
      </c>
      <c r="C149" s="7" t="s">
        <v>639</v>
      </c>
      <c r="D149" s="7" t="s">
        <v>46</v>
      </c>
      <c r="E149" s="8" t="s">
        <v>47</v>
      </c>
      <c r="F149" s="7"/>
      <c r="G149" s="7"/>
      <c r="H149" s="7" t="s">
        <v>640</v>
      </c>
      <c r="I149" s="7"/>
      <c r="J149" s="7" t="s">
        <v>641</v>
      </c>
      <c r="K149" s="7" t="s">
        <v>57</v>
      </c>
      <c r="L149" s="7" t="s">
        <v>642</v>
      </c>
      <c r="M149" s="7" t="s">
        <v>643</v>
      </c>
    </row>
    <row r="150" customFormat="false" ht="15" hidden="false" customHeight="true" outlineLevel="0" collapsed="false">
      <c r="A150" s="7" t="s">
        <v>43</v>
      </c>
      <c r="B150" s="7" t="s">
        <v>644</v>
      </c>
      <c r="C150" s="7" t="s">
        <v>645</v>
      </c>
      <c r="D150" s="7" t="s">
        <v>46</v>
      </c>
      <c r="E150" s="9" t="s">
        <v>71</v>
      </c>
      <c r="F150" s="7"/>
      <c r="G150" s="7"/>
      <c r="H150" s="7"/>
      <c r="I150" s="7"/>
      <c r="J150" s="7" t="s">
        <v>646</v>
      </c>
      <c r="K150" s="7" t="s">
        <v>112</v>
      </c>
      <c r="L150" s="7" t="s">
        <v>65</v>
      </c>
      <c r="M150" s="7" t="s">
        <v>647</v>
      </c>
    </row>
    <row r="151" customFormat="false" ht="15" hidden="false" customHeight="true" outlineLevel="0" collapsed="false">
      <c r="A151" s="7" t="s">
        <v>43</v>
      </c>
      <c r="B151" s="7" t="s">
        <v>648</v>
      </c>
      <c r="C151" s="7" t="s">
        <v>649</v>
      </c>
      <c r="D151" s="7" t="s">
        <v>46</v>
      </c>
      <c r="E151" s="10" t="s">
        <v>62</v>
      </c>
      <c r="F151" s="7"/>
      <c r="G151" s="7"/>
      <c r="H151" s="7"/>
      <c r="I151" s="7"/>
      <c r="J151" s="7" t="s">
        <v>650</v>
      </c>
      <c r="K151" s="7" t="s">
        <v>64</v>
      </c>
      <c r="L151" s="7" t="s">
        <v>65</v>
      </c>
      <c r="M151" s="7" t="s">
        <v>651</v>
      </c>
    </row>
    <row r="152" customFormat="false" ht="15" hidden="false" customHeight="true" outlineLevel="0" collapsed="false">
      <c r="A152" s="7" t="s">
        <v>43</v>
      </c>
      <c r="B152" s="7" t="s">
        <v>652</v>
      </c>
      <c r="C152" s="7" t="s">
        <v>653</v>
      </c>
      <c r="D152" s="7" t="s">
        <v>46</v>
      </c>
      <c r="E152" s="10" t="s">
        <v>62</v>
      </c>
      <c r="F152" s="7"/>
      <c r="G152" s="7"/>
      <c r="H152" s="7" t="s">
        <v>654</v>
      </c>
      <c r="I152" s="7"/>
      <c r="J152" s="7" t="s">
        <v>655</v>
      </c>
      <c r="K152" s="7" t="s">
        <v>57</v>
      </c>
      <c r="L152" s="7" t="s">
        <v>656</v>
      </c>
      <c r="M152" s="7" t="s">
        <v>657</v>
      </c>
    </row>
    <row r="153" customFormat="false" ht="15" hidden="false" customHeight="true" outlineLevel="0" collapsed="false">
      <c r="A153" s="7" t="s">
        <v>43</v>
      </c>
      <c r="B153" s="7" t="s">
        <v>658</v>
      </c>
      <c r="C153" s="7" t="s">
        <v>659</v>
      </c>
      <c r="D153" s="7" t="s">
        <v>46</v>
      </c>
      <c r="E153" s="9" t="s">
        <v>47</v>
      </c>
      <c r="F153" s="7"/>
      <c r="G153" s="7"/>
      <c r="H153" s="7" t="s">
        <v>296</v>
      </c>
      <c r="I153" s="7"/>
      <c r="J153" s="7" t="s">
        <v>660</v>
      </c>
      <c r="K153" s="7" t="s">
        <v>57</v>
      </c>
      <c r="L153" s="7" t="s">
        <v>661</v>
      </c>
      <c r="M153" s="7" t="s">
        <v>662</v>
      </c>
    </row>
    <row r="154" customFormat="false" ht="15" hidden="false" customHeight="true" outlineLevel="0" collapsed="false">
      <c r="A154" s="7" t="s">
        <v>43</v>
      </c>
      <c r="B154" s="7" t="s">
        <v>663</v>
      </c>
      <c r="C154" s="7" t="s">
        <v>664</v>
      </c>
      <c r="D154" s="7" t="s">
        <v>46</v>
      </c>
      <c r="E154" s="10" t="s">
        <v>62</v>
      </c>
      <c r="F154" s="7"/>
      <c r="G154" s="7"/>
      <c r="H154" s="7" t="s">
        <v>665</v>
      </c>
      <c r="I154" s="7" t="s">
        <v>666</v>
      </c>
      <c r="J154" s="7" t="s">
        <v>667</v>
      </c>
      <c r="K154" s="7" t="s">
        <v>668</v>
      </c>
      <c r="L154" s="7" t="s">
        <v>669</v>
      </c>
      <c r="M154" s="7" t="s">
        <v>670</v>
      </c>
    </row>
    <row r="155" customFormat="false" ht="15" hidden="false" customHeight="true" outlineLevel="0" collapsed="false">
      <c r="A155" s="7" t="s">
        <v>43</v>
      </c>
      <c r="B155" s="7" t="s">
        <v>663</v>
      </c>
      <c r="C155" s="7" t="s">
        <v>671</v>
      </c>
      <c r="D155" s="7" t="s">
        <v>46</v>
      </c>
      <c r="E155" s="9" t="s">
        <v>125</v>
      </c>
      <c r="F155" s="7"/>
      <c r="G155" s="7"/>
      <c r="H155" s="7"/>
      <c r="I155" s="7"/>
      <c r="J155" s="7" t="s">
        <v>667</v>
      </c>
      <c r="K155" s="7" t="s">
        <v>672</v>
      </c>
      <c r="L155" s="7" t="s">
        <v>673</v>
      </c>
      <c r="M155" s="7" t="s">
        <v>674</v>
      </c>
    </row>
    <row r="156" customFormat="false" ht="15" hidden="false" customHeight="true" outlineLevel="0" collapsed="false">
      <c r="A156" s="7" t="s">
        <v>43</v>
      </c>
      <c r="B156" s="7" t="s">
        <v>663</v>
      </c>
      <c r="C156" s="7" t="s">
        <v>675</v>
      </c>
      <c r="D156" s="7" t="s">
        <v>46</v>
      </c>
      <c r="E156" s="9" t="s">
        <v>47</v>
      </c>
      <c r="F156" s="7"/>
      <c r="G156" s="7"/>
      <c r="H156" s="7" t="s">
        <v>676</v>
      </c>
      <c r="I156" s="7"/>
      <c r="J156" s="7" t="s">
        <v>667</v>
      </c>
      <c r="K156" s="7" t="s">
        <v>90</v>
      </c>
      <c r="L156" s="7" t="s">
        <v>677</v>
      </c>
      <c r="M156" s="7" t="s">
        <v>678</v>
      </c>
    </row>
    <row r="157" customFormat="false" ht="15" hidden="false" customHeight="true" outlineLevel="0" collapsed="false">
      <c r="A157" s="7" t="s">
        <v>43</v>
      </c>
      <c r="B157" s="7" t="s">
        <v>663</v>
      </c>
      <c r="C157" s="7" t="s">
        <v>679</v>
      </c>
      <c r="D157" s="7" t="s">
        <v>46</v>
      </c>
      <c r="E157" s="10" t="s">
        <v>201</v>
      </c>
      <c r="F157" s="7"/>
      <c r="G157" s="7"/>
      <c r="H157" s="7" t="s">
        <v>680</v>
      </c>
      <c r="I157" s="7"/>
      <c r="J157" s="7" t="s">
        <v>667</v>
      </c>
      <c r="K157" s="7" t="s">
        <v>681</v>
      </c>
      <c r="L157" s="7" t="s">
        <v>682</v>
      </c>
      <c r="M157" s="7" t="s">
        <v>683</v>
      </c>
    </row>
    <row r="158" customFormat="false" ht="15" hidden="false" customHeight="true" outlineLevel="0" collapsed="false">
      <c r="A158" s="7" t="s">
        <v>43</v>
      </c>
      <c r="B158" s="7" t="s">
        <v>663</v>
      </c>
      <c r="C158" s="7" t="s">
        <v>684</v>
      </c>
      <c r="D158" s="7" t="s">
        <v>46</v>
      </c>
      <c r="E158" s="9" t="s">
        <v>71</v>
      </c>
      <c r="F158" s="7"/>
      <c r="G158" s="7"/>
      <c r="H158" s="7"/>
      <c r="I158" s="7"/>
      <c r="J158" s="7" t="s">
        <v>667</v>
      </c>
      <c r="K158" s="7" t="s">
        <v>90</v>
      </c>
      <c r="L158" s="7" t="s">
        <v>685</v>
      </c>
      <c r="M158" s="7" t="s">
        <v>686</v>
      </c>
    </row>
    <row r="159" customFormat="false" ht="15" hidden="false" customHeight="true" outlineLevel="0" collapsed="false">
      <c r="A159" s="7" t="s">
        <v>43</v>
      </c>
      <c r="B159" s="7" t="s">
        <v>663</v>
      </c>
      <c r="C159" s="7" t="s">
        <v>687</v>
      </c>
      <c r="D159" s="7" t="s">
        <v>46</v>
      </c>
      <c r="E159" s="9" t="s">
        <v>125</v>
      </c>
      <c r="F159" s="7"/>
      <c r="G159" s="7"/>
      <c r="H159" s="7"/>
      <c r="I159" s="7"/>
      <c r="J159" s="7" t="s">
        <v>667</v>
      </c>
      <c r="K159" s="7" t="s">
        <v>672</v>
      </c>
      <c r="L159" s="7" t="s">
        <v>673</v>
      </c>
      <c r="M159" s="7" t="s">
        <v>688</v>
      </c>
    </row>
    <row r="160" customFormat="false" ht="15" hidden="false" customHeight="true" outlineLevel="0" collapsed="false">
      <c r="A160" s="7" t="s">
        <v>43</v>
      </c>
      <c r="B160" s="7" t="s">
        <v>663</v>
      </c>
      <c r="C160" s="7" t="s">
        <v>689</v>
      </c>
      <c r="D160" s="7" t="s">
        <v>46</v>
      </c>
      <c r="E160" s="9" t="s">
        <v>71</v>
      </c>
      <c r="F160" s="7"/>
      <c r="G160" s="7"/>
      <c r="H160" s="7"/>
      <c r="I160" s="7"/>
      <c r="J160" s="7" t="s">
        <v>667</v>
      </c>
      <c r="K160" s="7" t="s">
        <v>85</v>
      </c>
      <c r="L160" s="7" t="s">
        <v>65</v>
      </c>
      <c r="M160" s="7" t="s">
        <v>690</v>
      </c>
    </row>
    <row r="161" customFormat="false" ht="15" hidden="false" customHeight="true" outlineLevel="0" collapsed="false">
      <c r="A161" s="7" t="s">
        <v>43</v>
      </c>
      <c r="B161" s="7" t="s">
        <v>691</v>
      </c>
      <c r="C161" s="7" t="s">
        <v>692</v>
      </c>
      <c r="D161" s="7" t="s">
        <v>46</v>
      </c>
      <c r="E161" s="9" t="s">
        <v>47</v>
      </c>
      <c r="F161" s="7"/>
      <c r="G161" s="7"/>
      <c r="H161" s="7"/>
      <c r="I161" s="7"/>
      <c r="J161" s="7" t="s">
        <v>693</v>
      </c>
      <c r="K161" s="7" t="s">
        <v>112</v>
      </c>
      <c r="L161" s="7" t="s">
        <v>694</v>
      </c>
      <c r="M161" s="7" t="s">
        <v>695</v>
      </c>
    </row>
    <row r="162" customFormat="false" ht="15" hidden="false" customHeight="true" outlineLevel="0" collapsed="false">
      <c r="A162" s="7" t="s">
        <v>43</v>
      </c>
      <c r="B162" s="7" t="s">
        <v>696</v>
      </c>
      <c r="C162" s="7" t="s">
        <v>697</v>
      </c>
      <c r="D162" s="7" t="s">
        <v>46</v>
      </c>
      <c r="E162" s="9" t="s">
        <v>47</v>
      </c>
      <c r="F162" s="7"/>
      <c r="G162" s="7"/>
      <c r="H162" s="7" t="s">
        <v>698</v>
      </c>
      <c r="I162" s="7"/>
      <c r="J162" s="7" t="s">
        <v>699</v>
      </c>
      <c r="K162" s="7" t="s">
        <v>57</v>
      </c>
      <c r="L162" s="7" t="s">
        <v>700</v>
      </c>
      <c r="M162" s="7" t="s">
        <v>701</v>
      </c>
    </row>
    <row r="163" customFormat="false" ht="15" hidden="false" customHeight="true" outlineLevel="0" collapsed="false">
      <c r="A163" s="7" t="s">
        <v>43</v>
      </c>
      <c r="B163" s="7" t="s">
        <v>702</v>
      </c>
      <c r="C163" s="7" t="s">
        <v>703</v>
      </c>
      <c r="D163" s="7" t="s">
        <v>74</v>
      </c>
      <c r="E163" s="8" t="s">
        <v>47</v>
      </c>
      <c r="F163" s="7"/>
      <c r="G163" s="7"/>
      <c r="H163" s="7" t="s">
        <v>704</v>
      </c>
      <c r="I163" s="7"/>
      <c r="J163" s="7" t="s">
        <v>705</v>
      </c>
      <c r="K163" s="7" t="s">
        <v>706</v>
      </c>
      <c r="L163" s="7" t="s">
        <v>65</v>
      </c>
      <c r="M163" s="7" t="s">
        <v>707</v>
      </c>
    </row>
    <row r="164" customFormat="false" ht="15" hidden="false" customHeight="true" outlineLevel="0" collapsed="false">
      <c r="A164" s="7" t="s">
        <v>43</v>
      </c>
      <c r="B164" s="7" t="s">
        <v>702</v>
      </c>
      <c r="C164" s="7" t="s">
        <v>708</v>
      </c>
      <c r="D164" s="7" t="s">
        <v>46</v>
      </c>
      <c r="E164" s="10" t="s">
        <v>62</v>
      </c>
      <c r="F164" s="7"/>
      <c r="G164" s="7"/>
      <c r="H164" s="7"/>
      <c r="I164" s="7"/>
      <c r="J164" s="7" t="s">
        <v>709</v>
      </c>
      <c r="K164" s="7" t="s">
        <v>64</v>
      </c>
      <c r="L164" s="7" t="s">
        <v>65</v>
      </c>
      <c r="M164" s="7" t="s">
        <v>710</v>
      </c>
    </row>
    <row r="165" customFormat="false" ht="15" hidden="false" customHeight="true" outlineLevel="0" collapsed="false">
      <c r="A165" s="7" t="s">
        <v>43</v>
      </c>
      <c r="B165" s="7" t="s">
        <v>702</v>
      </c>
      <c r="C165" s="7" t="s">
        <v>711</v>
      </c>
      <c r="D165" s="7" t="s">
        <v>46</v>
      </c>
      <c r="E165" s="10" t="s">
        <v>62</v>
      </c>
      <c r="F165" s="7"/>
      <c r="G165" s="7"/>
      <c r="H165" s="7" t="s">
        <v>712</v>
      </c>
      <c r="I165" s="7"/>
      <c r="J165" s="7" t="s">
        <v>709</v>
      </c>
      <c r="K165" s="7" t="s">
        <v>57</v>
      </c>
      <c r="L165" s="7" t="s">
        <v>713</v>
      </c>
      <c r="M165" s="7" t="s">
        <v>714</v>
      </c>
    </row>
    <row r="166" customFormat="false" ht="15" hidden="false" customHeight="true" outlineLevel="0" collapsed="false">
      <c r="A166" s="7" t="s">
        <v>43</v>
      </c>
      <c r="B166" s="7" t="s">
        <v>702</v>
      </c>
      <c r="C166" s="7" t="s">
        <v>715</v>
      </c>
      <c r="D166" s="7" t="s">
        <v>46</v>
      </c>
      <c r="E166" s="10" t="s">
        <v>62</v>
      </c>
      <c r="F166" s="7"/>
      <c r="G166" s="7"/>
      <c r="H166" s="7" t="s">
        <v>716</v>
      </c>
      <c r="I166" s="7"/>
      <c r="J166" s="7" t="s">
        <v>709</v>
      </c>
      <c r="K166" s="7" t="s">
        <v>57</v>
      </c>
      <c r="L166" s="7" t="s">
        <v>717</v>
      </c>
      <c r="M166" s="7" t="s">
        <v>718</v>
      </c>
    </row>
    <row r="167" customFormat="false" ht="15" hidden="false" customHeight="true" outlineLevel="0" collapsed="false">
      <c r="A167" s="7" t="s">
        <v>43</v>
      </c>
      <c r="B167" s="7" t="s">
        <v>702</v>
      </c>
      <c r="C167" s="7" t="s">
        <v>719</v>
      </c>
      <c r="D167" s="7" t="s">
        <v>46</v>
      </c>
      <c r="E167" s="10" t="s">
        <v>62</v>
      </c>
      <c r="F167" s="7"/>
      <c r="G167" s="7"/>
      <c r="H167" s="7" t="s">
        <v>720</v>
      </c>
      <c r="I167" s="7"/>
      <c r="J167" s="7" t="s">
        <v>709</v>
      </c>
      <c r="K167" s="7" t="s">
        <v>57</v>
      </c>
      <c r="L167" s="7" t="s">
        <v>721</v>
      </c>
      <c r="M167" s="7" t="s">
        <v>722</v>
      </c>
    </row>
    <row r="168" customFormat="false" ht="15" hidden="false" customHeight="true" outlineLevel="0" collapsed="false">
      <c r="A168" s="7" t="s">
        <v>43</v>
      </c>
      <c r="B168" s="7" t="s">
        <v>702</v>
      </c>
      <c r="C168" s="7" t="s">
        <v>723</v>
      </c>
      <c r="D168" s="7" t="s">
        <v>46</v>
      </c>
      <c r="E168" s="10" t="s">
        <v>62</v>
      </c>
      <c r="F168" s="7"/>
      <c r="G168" s="7"/>
      <c r="H168" s="7" t="s">
        <v>724</v>
      </c>
      <c r="I168" s="7"/>
      <c r="J168" s="7" t="s">
        <v>709</v>
      </c>
      <c r="K168" s="7" t="s">
        <v>57</v>
      </c>
      <c r="L168" s="7" t="s">
        <v>725</v>
      </c>
      <c r="M168" s="7" t="s">
        <v>726</v>
      </c>
    </row>
    <row r="169" customFormat="false" ht="15" hidden="false" customHeight="true" outlineLevel="0" collapsed="false">
      <c r="A169" s="7" t="s">
        <v>43</v>
      </c>
      <c r="B169" s="7" t="s">
        <v>702</v>
      </c>
      <c r="C169" s="7" t="s">
        <v>727</v>
      </c>
      <c r="D169" s="7" t="s">
        <v>46</v>
      </c>
      <c r="E169" s="10" t="s">
        <v>71</v>
      </c>
      <c r="F169" s="7"/>
      <c r="G169" s="7"/>
      <c r="H169" s="7" t="s">
        <v>728</v>
      </c>
      <c r="I169" s="7"/>
      <c r="J169" s="7" t="s">
        <v>709</v>
      </c>
      <c r="K169" s="7" t="s">
        <v>57</v>
      </c>
      <c r="L169" s="7" t="s">
        <v>725</v>
      </c>
      <c r="M169" s="7" t="s">
        <v>729</v>
      </c>
    </row>
    <row r="170" customFormat="false" ht="15" hidden="false" customHeight="true" outlineLevel="0" collapsed="false">
      <c r="A170" s="7" t="s">
        <v>43</v>
      </c>
      <c r="B170" s="7" t="s">
        <v>702</v>
      </c>
      <c r="C170" s="7" t="s">
        <v>730</v>
      </c>
      <c r="D170" s="7" t="s">
        <v>46</v>
      </c>
      <c r="E170" s="10" t="s">
        <v>201</v>
      </c>
      <c r="F170" s="7"/>
      <c r="G170" s="7"/>
      <c r="H170" s="7" t="s">
        <v>731</v>
      </c>
      <c r="I170" s="7"/>
      <c r="J170" s="7" t="s">
        <v>709</v>
      </c>
      <c r="K170" s="7" t="s">
        <v>57</v>
      </c>
      <c r="L170" s="7" t="s">
        <v>732</v>
      </c>
      <c r="M170" s="7" t="s">
        <v>733</v>
      </c>
    </row>
    <row r="171" customFormat="false" ht="15" hidden="false" customHeight="true" outlineLevel="0" collapsed="false">
      <c r="A171" s="7" t="s">
        <v>43</v>
      </c>
      <c r="B171" s="7" t="s">
        <v>702</v>
      </c>
      <c r="C171" s="7" t="s">
        <v>734</v>
      </c>
      <c r="D171" s="7" t="s">
        <v>46</v>
      </c>
      <c r="E171" s="9" t="s">
        <v>71</v>
      </c>
      <c r="F171" s="7"/>
      <c r="G171" s="7"/>
      <c r="H171" s="7" t="s">
        <v>735</v>
      </c>
      <c r="I171" s="7"/>
      <c r="J171" s="7" t="s">
        <v>709</v>
      </c>
      <c r="K171" s="7" t="s">
        <v>57</v>
      </c>
      <c r="L171" s="7" t="s">
        <v>717</v>
      </c>
      <c r="M171" s="7" t="s">
        <v>736</v>
      </c>
    </row>
    <row r="172" customFormat="false" ht="15" hidden="false" customHeight="true" outlineLevel="0" collapsed="false">
      <c r="A172" s="7" t="s">
        <v>43</v>
      </c>
      <c r="B172" s="7" t="s">
        <v>737</v>
      </c>
      <c r="C172" s="7" t="s">
        <v>738</v>
      </c>
      <c r="D172" s="7" t="s">
        <v>46</v>
      </c>
      <c r="E172" s="9" t="s">
        <v>71</v>
      </c>
      <c r="F172" s="7"/>
      <c r="G172" s="7"/>
      <c r="H172" s="7" t="s">
        <v>739</v>
      </c>
      <c r="I172" s="7"/>
      <c r="J172" s="7" t="s">
        <v>740</v>
      </c>
      <c r="K172" s="7" t="s">
        <v>57</v>
      </c>
      <c r="L172" s="7" t="s">
        <v>741</v>
      </c>
      <c r="M172" s="7" t="s">
        <v>742</v>
      </c>
    </row>
    <row r="173" customFormat="false" ht="15" hidden="false" customHeight="true" outlineLevel="0" collapsed="false">
      <c r="A173" s="7" t="s">
        <v>43</v>
      </c>
      <c r="B173" s="7" t="s">
        <v>743</v>
      </c>
      <c r="C173" s="7" t="s">
        <v>744</v>
      </c>
      <c r="D173" s="7" t="s">
        <v>46</v>
      </c>
      <c r="E173" s="10" t="s">
        <v>62</v>
      </c>
      <c r="F173" s="7"/>
      <c r="G173" s="7"/>
      <c r="H173" s="7"/>
      <c r="I173" s="7"/>
      <c r="J173" s="7" t="s">
        <v>745</v>
      </c>
      <c r="K173" s="7" t="s">
        <v>112</v>
      </c>
      <c r="L173" s="7" t="s">
        <v>746</v>
      </c>
      <c r="M173" s="7" t="s">
        <v>747</v>
      </c>
    </row>
    <row r="174" customFormat="false" ht="15" hidden="false" customHeight="true" outlineLevel="0" collapsed="false">
      <c r="A174" s="7" t="s">
        <v>43</v>
      </c>
      <c r="B174" s="7" t="s">
        <v>748</v>
      </c>
      <c r="C174" s="7" t="s">
        <v>749</v>
      </c>
      <c r="D174" s="7" t="s">
        <v>46</v>
      </c>
      <c r="E174" s="10" t="s">
        <v>62</v>
      </c>
      <c r="F174" s="7"/>
      <c r="G174" s="7"/>
      <c r="H174" s="7" t="s">
        <v>750</v>
      </c>
      <c r="I174" s="7"/>
      <c r="J174" s="7" t="s">
        <v>751</v>
      </c>
      <c r="K174" s="7" t="s">
        <v>752</v>
      </c>
      <c r="L174" s="7" t="s">
        <v>65</v>
      </c>
      <c r="M174" s="7" t="s">
        <v>753</v>
      </c>
    </row>
    <row r="175" customFormat="false" ht="15" hidden="false" customHeight="true" outlineLevel="0" collapsed="false">
      <c r="A175" s="7" t="s">
        <v>43</v>
      </c>
      <c r="B175" s="7" t="s">
        <v>748</v>
      </c>
      <c r="C175" s="7" t="s">
        <v>754</v>
      </c>
      <c r="D175" s="7" t="s">
        <v>46</v>
      </c>
      <c r="E175" s="10" t="s">
        <v>62</v>
      </c>
      <c r="F175" s="7"/>
      <c r="G175" s="7"/>
      <c r="H175" s="7" t="s">
        <v>755</v>
      </c>
      <c r="I175" s="7"/>
      <c r="J175" s="7" t="s">
        <v>751</v>
      </c>
      <c r="K175" s="7" t="s">
        <v>57</v>
      </c>
      <c r="L175" s="7" t="s">
        <v>756</v>
      </c>
      <c r="M175" s="7" t="s">
        <v>757</v>
      </c>
    </row>
    <row r="176" customFormat="false" ht="15" hidden="false" customHeight="true" outlineLevel="0" collapsed="false">
      <c r="A176" s="7" t="s">
        <v>43</v>
      </c>
      <c r="B176" s="7" t="s">
        <v>748</v>
      </c>
      <c r="C176" s="7" t="s">
        <v>758</v>
      </c>
      <c r="D176" s="7" t="s">
        <v>46</v>
      </c>
      <c r="E176" s="9" t="s">
        <v>71</v>
      </c>
      <c r="F176" s="7"/>
      <c r="G176" s="7"/>
      <c r="H176" s="7" t="s">
        <v>759</v>
      </c>
      <c r="I176" s="7"/>
      <c r="J176" s="7" t="s">
        <v>751</v>
      </c>
      <c r="K176" s="7" t="s">
        <v>57</v>
      </c>
      <c r="L176" s="7" t="s">
        <v>760</v>
      </c>
      <c r="M176" s="7" t="s">
        <v>761</v>
      </c>
    </row>
    <row r="177" customFormat="false" ht="15" hidden="false" customHeight="true" outlineLevel="0" collapsed="false">
      <c r="A177" s="7" t="s">
        <v>43</v>
      </c>
      <c r="B177" s="7" t="s">
        <v>748</v>
      </c>
      <c r="C177" s="7" t="s">
        <v>762</v>
      </c>
      <c r="D177" s="7" t="s">
        <v>46</v>
      </c>
      <c r="E177" s="9" t="s">
        <v>62</v>
      </c>
      <c r="F177" s="7"/>
      <c r="G177" s="7"/>
      <c r="H177" s="7" t="s">
        <v>763</v>
      </c>
      <c r="I177" s="7"/>
      <c r="J177" s="7" t="s">
        <v>751</v>
      </c>
      <c r="K177" s="7" t="s">
        <v>752</v>
      </c>
      <c r="L177" s="7" t="s">
        <v>65</v>
      </c>
      <c r="M177" s="7" t="s">
        <v>764</v>
      </c>
    </row>
    <row r="178" customFormat="false" ht="15" hidden="false" customHeight="true" outlineLevel="0" collapsed="false">
      <c r="A178" s="7" t="s">
        <v>43</v>
      </c>
      <c r="B178" s="7" t="s">
        <v>765</v>
      </c>
      <c r="C178" s="7" t="s">
        <v>766</v>
      </c>
      <c r="D178" s="7" t="s">
        <v>46</v>
      </c>
      <c r="E178" s="10" t="s">
        <v>62</v>
      </c>
      <c r="F178" s="7"/>
      <c r="G178" s="7"/>
      <c r="H178" s="7" t="s">
        <v>767</v>
      </c>
      <c r="I178" s="7"/>
      <c r="J178" s="7" t="s">
        <v>768</v>
      </c>
      <c r="K178" s="7" t="s">
        <v>57</v>
      </c>
      <c r="L178" s="7" t="s">
        <v>769</v>
      </c>
      <c r="M178" s="7" t="s">
        <v>770</v>
      </c>
    </row>
    <row r="179" customFormat="false" ht="15" hidden="false" customHeight="true" outlineLevel="0" collapsed="false">
      <c r="A179" s="7" t="s">
        <v>43</v>
      </c>
      <c r="B179" s="7" t="s">
        <v>771</v>
      </c>
      <c r="C179" s="7" t="s">
        <v>772</v>
      </c>
      <c r="D179" s="7" t="s">
        <v>46</v>
      </c>
      <c r="E179" s="10" t="s">
        <v>62</v>
      </c>
      <c r="F179" s="7"/>
      <c r="G179" s="7"/>
      <c r="H179" s="7"/>
      <c r="I179" s="7"/>
      <c r="J179" s="7" t="s">
        <v>773</v>
      </c>
      <c r="K179" s="7" t="s">
        <v>64</v>
      </c>
      <c r="L179" s="7" t="s">
        <v>65</v>
      </c>
      <c r="M179" s="7" t="s">
        <v>774</v>
      </c>
    </row>
    <row r="180" customFormat="false" ht="15" hidden="false" customHeight="true" outlineLevel="0" collapsed="false">
      <c r="A180" s="7" t="s">
        <v>43</v>
      </c>
      <c r="B180" s="7" t="s">
        <v>771</v>
      </c>
      <c r="C180" s="7" t="s">
        <v>775</v>
      </c>
      <c r="D180" s="7" t="s">
        <v>46</v>
      </c>
      <c r="E180" s="9" t="s">
        <v>71</v>
      </c>
      <c r="F180" s="7"/>
      <c r="G180" s="7"/>
      <c r="H180" s="7"/>
      <c r="I180" s="7"/>
      <c r="J180" s="7" t="s">
        <v>773</v>
      </c>
      <c r="K180" s="7" t="s">
        <v>64</v>
      </c>
      <c r="L180" s="7" t="s">
        <v>65</v>
      </c>
      <c r="M180" s="7" t="s">
        <v>776</v>
      </c>
    </row>
    <row r="181" customFormat="false" ht="15" hidden="false" customHeight="true" outlineLevel="0" collapsed="false">
      <c r="A181" s="1" t="s">
        <v>43</v>
      </c>
      <c r="B181" s="1" t="s">
        <v>53</v>
      </c>
      <c r="C181" s="1" t="s">
        <v>777</v>
      </c>
      <c r="D181" s="1" t="s">
        <v>74</v>
      </c>
      <c r="E181" s="1" t="s">
        <v>62</v>
      </c>
      <c r="H181" s="1" t="s">
        <v>778</v>
      </c>
      <c r="J181" s="1" t="s">
        <v>779</v>
      </c>
      <c r="K181" s="1" t="s">
        <v>57</v>
      </c>
      <c r="L181" s="1" t="s">
        <v>780</v>
      </c>
      <c r="M181" s="1" t="s">
        <v>781</v>
      </c>
    </row>
    <row r="182" customFormat="false" ht="15" hidden="false" customHeight="true" outlineLevel="0" collapsed="false">
      <c r="A182" s="1" t="s">
        <v>43</v>
      </c>
      <c r="B182" s="1" t="s">
        <v>53</v>
      </c>
      <c r="C182" s="1" t="s">
        <v>782</v>
      </c>
      <c r="D182" s="1" t="s">
        <v>74</v>
      </c>
      <c r="E182" s="1" t="s">
        <v>47</v>
      </c>
      <c r="H182" s="1" t="s">
        <v>783</v>
      </c>
      <c r="J182" s="1" t="s">
        <v>779</v>
      </c>
      <c r="K182" s="1" t="s">
        <v>57</v>
      </c>
      <c r="L182" s="1" t="s">
        <v>784</v>
      </c>
      <c r="M182" s="1" t="s">
        <v>785</v>
      </c>
    </row>
    <row r="183" customFormat="false" ht="15" hidden="false" customHeight="true" outlineLevel="0" collapsed="false">
      <c r="A183" s="1" t="s">
        <v>43</v>
      </c>
      <c r="B183" s="1" t="s">
        <v>53</v>
      </c>
      <c r="C183" s="1" t="s">
        <v>786</v>
      </c>
      <c r="D183" s="1" t="s">
        <v>74</v>
      </c>
      <c r="E183" s="1" t="s">
        <v>47</v>
      </c>
      <c r="H183" s="1" t="s">
        <v>787</v>
      </c>
      <c r="J183" s="1" t="s">
        <v>779</v>
      </c>
      <c r="K183" s="1" t="s">
        <v>57</v>
      </c>
      <c r="L183" s="1" t="s">
        <v>788</v>
      </c>
      <c r="M183" s="1" t="s">
        <v>789</v>
      </c>
    </row>
    <row r="184" customFormat="false" ht="15" hidden="false" customHeight="true" outlineLevel="0" collapsed="false">
      <c r="A184" s="1" t="s">
        <v>43</v>
      </c>
      <c r="B184" s="1" t="s">
        <v>53</v>
      </c>
      <c r="C184" s="1" t="s">
        <v>790</v>
      </c>
      <c r="D184" s="1" t="s">
        <v>74</v>
      </c>
      <c r="E184" s="1" t="s">
        <v>62</v>
      </c>
      <c r="H184" s="1" t="s">
        <v>791</v>
      </c>
      <c r="J184" s="1" t="s">
        <v>779</v>
      </c>
      <c r="K184" s="1" t="s">
        <v>57</v>
      </c>
      <c r="L184" s="1" t="s">
        <v>792</v>
      </c>
      <c r="M184" s="1" t="s">
        <v>793</v>
      </c>
    </row>
    <row r="185" customFormat="false" ht="15" hidden="false" customHeight="true" outlineLevel="0" collapsed="false">
      <c r="A185" s="1" t="s">
        <v>43</v>
      </c>
      <c r="B185" s="1" t="s">
        <v>53</v>
      </c>
      <c r="C185" s="1" t="s">
        <v>794</v>
      </c>
      <c r="D185" s="1" t="s">
        <v>74</v>
      </c>
      <c r="E185" s="1" t="s">
        <v>201</v>
      </c>
      <c r="J185" s="1" t="s">
        <v>779</v>
      </c>
      <c r="K185" s="1" t="s">
        <v>112</v>
      </c>
      <c r="L185" s="1" t="s">
        <v>795</v>
      </c>
      <c r="M185" s="1" t="s">
        <v>796</v>
      </c>
    </row>
    <row r="186" customFormat="false" ht="15" hidden="false" customHeight="true" outlineLevel="0" collapsed="false">
      <c r="A186" s="1" t="s">
        <v>43</v>
      </c>
      <c r="B186" s="1" t="s">
        <v>231</v>
      </c>
      <c r="C186" s="1" t="s">
        <v>664</v>
      </c>
      <c r="D186" s="1" t="s">
        <v>46</v>
      </c>
      <c r="E186" s="1" t="s">
        <v>62</v>
      </c>
      <c r="H186" s="1" t="s">
        <v>797</v>
      </c>
      <c r="J186" s="1" t="s">
        <v>233</v>
      </c>
      <c r="K186" s="1" t="s">
        <v>57</v>
      </c>
      <c r="L186" s="1" t="s">
        <v>237</v>
      </c>
      <c r="M186" s="1" t="s">
        <v>798</v>
      </c>
    </row>
    <row r="187" customFormat="false" ht="15" hidden="false" customHeight="true" outlineLevel="0" collapsed="false">
      <c r="A187" s="1" t="s">
        <v>43</v>
      </c>
      <c r="B187" s="1" t="s">
        <v>231</v>
      </c>
      <c r="C187" s="1" t="s">
        <v>799</v>
      </c>
      <c r="D187" s="1" t="s">
        <v>46</v>
      </c>
      <c r="E187" s="1" t="s">
        <v>62</v>
      </c>
      <c r="H187" s="1" t="s">
        <v>800</v>
      </c>
      <c r="J187" s="1" t="s">
        <v>233</v>
      </c>
      <c r="K187" s="1" t="s">
        <v>57</v>
      </c>
      <c r="L187" s="1" t="s">
        <v>801</v>
      </c>
      <c r="M187" s="1" t="s">
        <v>802</v>
      </c>
    </row>
    <row r="188" customFormat="false" ht="15" hidden="false" customHeight="true" outlineLevel="0" collapsed="false">
      <c r="A188" s="1" t="s">
        <v>43</v>
      </c>
      <c r="B188" s="1" t="s">
        <v>231</v>
      </c>
      <c r="C188" s="1" t="s">
        <v>803</v>
      </c>
      <c r="D188" s="1" t="s">
        <v>46</v>
      </c>
      <c r="E188" s="1" t="s">
        <v>71</v>
      </c>
      <c r="J188" s="1" t="s">
        <v>233</v>
      </c>
      <c r="K188" s="1" t="s">
        <v>112</v>
      </c>
      <c r="L188" s="1" t="s">
        <v>804</v>
      </c>
      <c r="M188" s="1" t="s">
        <v>805</v>
      </c>
    </row>
    <row r="189" customFormat="false" ht="15" hidden="false" customHeight="true" outlineLevel="0" collapsed="false">
      <c r="A189" s="1" t="s">
        <v>43</v>
      </c>
      <c r="B189" s="1" t="s">
        <v>231</v>
      </c>
      <c r="C189" s="1" t="s">
        <v>806</v>
      </c>
      <c r="D189" s="1" t="s">
        <v>46</v>
      </c>
      <c r="E189" s="1" t="s">
        <v>71</v>
      </c>
      <c r="J189" s="1" t="s">
        <v>233</v>
      </c>
      <c r="K189" s="1" t="s">
        <v>112</v>
      </c>
      <c r="L189" s="1" t="s">
        <v>807</v>
      </c>
      <c r="M189" s="1" t="s">
        <v>808</v>
      </c>
    </row>
    <row r="190" customFormat="false" ht="15" hidden="false" customHeight="true" outlineLevel="0" collapsed="false">
      <c r="A190" s="1" t="s">
        <v>43</v>
      </c>
      <c r="B190" s="1" t="s">
        <v>332</v>
      </c>
      <c r="C190" s="1" t="s">
        <v>809</v>
      </c>
      <c r="D190" s="1" t="s">
        <v>46</v>
      </c>
      <c r="E190" s="1" t="s">
        <v>47</v>
      </c>
      <c r="J190" s="1" t="s">
        <v>334</v>
      </c>
      <c r="K190" s="1" t="s">
        <v>112</v>
      </c>
      <c r="L190" s="1" t="s">
        <v>810</v>
      </c>
      <c r="M190" s="1" t="s">
        <v>811</v>
      </c>
    </row>
    <row r="191" customFormat="false" ht="15" hidden="false" customHeight="true" outlineLevel="0" collapsed="false">
      <c r="A191" s="1" t="s">
        <v>43</v>
      </c>
      <c r="B191" s="1" t="s">
        <v>332</v>
      </c>
      <c r="C191" s="1" t="s">
        <v>812</v>
      </c>
      <c r="D191" s="1" t="s">
        <v>74</v>
      </c>
      <c r="E191" s="1" t="s">
        <v>201</v>
      </c>
      <c r="J191" s="1" t="s">
        <v>813</v>
      </c>
      <c r="K191" s="1" t="s">
        <v>112</v>
      </c>
      <c r="L191" s="1" t="s">
        <v>814</v>
      </c>
      <c r="M191" s="1" t="s">
        <v>815</v>
      </c>
    </row>
    <row r="192" customFormat="false" ht="15" hidden="false" customHeight="true" outlineLevel="0" collapsed="false">
      <c r="A192" s="1" t="s">
        <v>43</v>
      </c>
      <c r="B192" s="1" t="s">
        <v>332</v>
      </c>
      <c r="C192" s="1" t="s">
        <v>816</v>
      </c>
      <c r="D192" s="1" t="s">
        <v>74</v>
      </c>
      <c r="E192" s="1" t="s">
        <v>47</v>
      </c>
      <c r="J192" s="1" t="s">
        <v>813</v>
      </c>
      <c r="K192" s="1" t="s">
        <v>112</v>
      </c>
      <c r="L192" s="1" t="s">
        <v>817</v>
      </c>
      <c r="M192" s="1" t="s">
        <v>818</v>
      </c>
    </row>
    <row r="193" customFormat="false" ht="15" hidden="false" customHeight="true" outlineLevel="0" collapsed="false">
      <c r="A193" s="1" t="s">
        <v>43</v>
      </c>
      <c r="B193" s="1" t="s">
        <v>332</v>
      </c>
      <c r="C193" s="1" t="s">
        <v>819</v>
      </c>
      <c r="D193" s="1" t="s">
        <v>74</v>
      </c>
      <c r="E193" s="1" t="s">
        <v>201</v>
      </c>
      <c r="J193" s="1" t="s">
        <v>813</v>
      </c>
      <c r="K193" s="1" t="s">
        <v>112</v>
      </c>
      <c r="L193" s="1" t="s">
        <v>820</v>
      </c>
      <c r="M193" s="1" t="s">
        <v>821</v>
      </c>
    </row>
    <row r="194" customFormat="false" ht="15" hidden="false" customHeight="true" outlineLevel="0" collapsed="false">
      <c r="A194" s="1" t="s">
        <v>43</v>
      </c>
      <c r="B194" s="1" t="s">
        <v>422</v>
      </c>
      <c r="C194" s="1" t="s">
        <v>822</v>
      </c>
      <c r="D194" s="1" t="s">
        <v>46</v>
      </c>
      <c r="E194" s="1" t="s">
        <v>71</v>
      </c>
      <c r="J194" s="1" t="s">
        <v>424</v>
      </c>
      <c r="K194" s="1" t="s">
        <v>112</v>
      </c>
      <c r="L194" s="1" t="s">
        <v>823</v>
      </c>
      <c r="M194" s="1" t="s">
        <v>824</v>
      </c>
    </row>
    <row r="195" customFormat="false" ht="15" hidden="false" customHeight="true" outlineLevel="0" collapsed="false">
      <c r="A195" s="1" t="s">
        <v>43</v>
      </c>
      <c r="B195" s="1" t="s">
        <v>422</v>
      </c>
      <c r="C195" s="1" t="s">
        <v>825</v>
      </c>
      <c r="D195" s="1" t="s">
        <v>46</v>
      </c>
      <c r="E195" s="1" t="s">
        <v>71</v>
      </c>
      <c r="J195" s="1" t="s">
        <v>424</v>
      </c>
      <c r="K195" s="1" t="s">
        <v>112</v>
      </c>
      <c r="L195" s="1" t="s">
        <v>826</v>
      </c>
      <c r="M195" s="1" t="s">
        <v>827</v>
      </c>
    </row>
    <row r="196" customFormat="false" ht="15" hidden="false" customHeight="true" outlineLevel="0" collapsed="false">
      <c r="A196" s="1" t="s">
        <v>43</v>
      </c>
      <c r="B196" s="1" t="s">
        <v>422</v>
      </c>
      <c r="C196" s="1" t="s">
        <v>828</v>
      </c>
      <c r="D196" s="1" t="s">
        <v>46</v>
      </c>
      <c r="E196" s="1" t="s">
        <v>71</v>
      </c>
      <c r="H196" s="1" t="s">
        <v>829</v>
      </c>
      <c r="J196" s="1" t="s">
        <v>424</v>
      </c>
      <c r="K196" s="1" t="s">
        <v>57</v>
      </c>
      <c r="L196" s="1" t="s">
        <v>830</v>
      </c>
      <c r="M196" s="1" t="s">
        <v>831</v>
      </c>
    </row>
    <row r="197" customFormat="false" ht="15" hidden="false" customHeight="true" outlineLevel="0" collapsed="false">
      <c r="A197" s="1" t="s">
        <v>43</v>
      </c>
      <c r="B197" s="1" t="s">
        <v>422</v>
      </c>
      <c r="C197" s="1" t="s">
        <v>832</v>
      </c>
      <c r="D197" s="1" t="s">
        <v>46</v>
      </c>
      <c r="E197" s="1" t="s">
        <v>201</v>
      </c>
      <c r="J197" s="1" t="s">
        <v>424</v>
      </c>
      <c r="K197" s="1" t="s">
        <v>112</v>
      </c>
      <c r="L197" s="1" t="s">
        <v>833</v>
      </c>
      <c r="M197" s="1" t="s">
        <v>834</v>
      </c>
    </row>
    <row r="198" customFormat="false" ht="15" hidden="false" customHeight="true" outlineLevel="0" collapsed="false">
      <c r="A198" s="1" t="s">
        <v>43</v>
      </c>
      <c r="B198" s="1" t="s">
        <v>422</v>
      </c>
      <c r="C198" s="1" t="s">
        <v>835</v>
      </c>
      <c r="D198" s="1" t="s">
        <v>46</v>
      </c>
      <c r="E198" s="1" t="s">
        <v>201</v>
      </c>
      <c r="J198" s="1" t="s">
        <v>424</v>
      </c>
      <c r="K198" s="1" t="s">
        <v>112</v>
      </c>
      <c r="L198" s="1" t="s">
        <v>836</v>
      </c>
      <c r="M198" s="1" t="s">
        <v>837</v>
      </c>
    </row>
    <row r="199" customFormat="false" ht="15" hidden="false" customHeight="true" outlineLevel="0" collapsed="false">
      <c r="A199" s="1" t="s">
        <v>43</v>
      </c>
      <c r="B199" s="1" t="s">
        <v>446</v>
      </c>
      <c r="C199" s="1" t="s">
        <v>838</v>
      </c>
      <c r="D199" s="1" t="s">
        <v>46</v>
      </c>
      <c r="E199" s="1" t="s">
        <v>62</v>
      </c>
      <c r="H199" s="1" t="s">
        <v>839</v>
      </c>
      <c r="J199" s="1" t="s">
        <v>449</v>
      </c>
      <c r="K199" s="1" t="s">
        <v>57</v>
      </c>
      <c r="L199" s="1" t="s">
        <v>840</v>
      </c>
      <c r="M199" s="1" t="s">
        <v>841</v>
      </c>
    </row>
    <row r="200" customFormat="false" ht="15" hidden="false" customHeight="true" outlineLevel="0" collapsed="false">
      <c r="A200" s="1" t="s">
        <v>43</v>
      </c>
      <c r="B200" s="1" t="s">
        <v>446</v>
      </c>
      <c r="C200" s="1" t="s">
        <v>842</v>
      </c>
      <c r="D200" s="1" t="s">
        <v>46</v>
      </c>
      <c r="E200" s="1" t="s">
        <v>62</v>
      </c>
      <c r="H200" s="1" t="s">
        <v>843</v>
      </c>
      <c r="J200" s="1" t="s">
        <v>449</v>
      </c>
      <c r="K200" s="1" t="s">
        <v>57</v>
      </c>
      <c r="L200" s="1" t="s">
        <v>840</v>
      </c>
      <c r="M200" s="1" t="s">
        <v>844</v>
      </c>
    </row>
    <row r="201" customFormat="false" ht="15" hidden="false" customHeight="true" outlineLevel="0" collapsed="false">
      <c r="A201" s="1" t="s">
        <v>43</v>
      </c>
      <c r="B201" s="1" t="s">
        <v>446</v>
      </c>
      <c r="C201" s="1" t="s">
        <v>845</v>
      </c>
      <c r="D201" s="1" t="s">
        <v>46</v>
      </c>
      <c r="E201" s="1" t="s">
        <v>71</v>
      </c>
      <c r="H201" s="1" t="s">
        <v>846</v>
      </c>
      <c r="J201" s="1" t="s">
        <v>449</v>
      </c>
      <c r="K201" s="1" t="s">
        <v>57</v>
      </c>
      <c r="L201" s="1" t="s">
        <v>840</v>
      </c>
      <c r="M201" s="1" t="s">
        <v>847</v>
      </c>
    </row>
    <row r="202" customFormat="false" ht="15" hidden="false" customHeight="true" outlineLevel="0" collapsed="false">
      <c r="A202" s="1" t="s">
        <v>43</v>
      </c>
      <c r="B202" s="1" t="s">
        <v>446</v>
      </c>
      <c r="C202" s="1" t="s">
        <v>848</v>
      </c>
      <c r="D202" s="1" t="s">
        <v>46</v>
      </c>
      <c r="E202" s="1" t="s">
        <v>62</v>
      </c>
      <c r="H202" s="1" t="s">
        <v>849</v>
      </c>
      <c r="J202" s="1" t="s">
        <v>449</v>
      </c>
      <c r="K202" s="1" t="s">
        <v>57</v>
      </c>
      <c r="L202" s="1" t="s">
        <v>840</v>
      </c>
      <c r="M202" s="1" t="s">
        <v>850</v>
      </c>
    </row>
    <row r="203" customFormat="false" ht="15" hidden="false" customHeight="true" outlineLevel="0" collapsed="false">
      <c r="A203" s="1" t="s">
        <v>43</v>
      </c>
      <c r="B203" s="1" t="s">
        <v>446</v>
      </c>
      <c r="C203" s="1" t="s">
        <v>851</v>
      </c>
      <c r="D203" s="1" t="s">
        <v>46</v>
      </c>
      <c r="E203" s="1" t="s">
        <v>71</v>
      </c>
      <c r="H203" s="1" t="s">
        <v>852</v>
      </c>
      <c r="J203" s="1" t="s">
        <v>449</v>
      </c>
      <c r="K203" s="1" t="s">
        <v>57</v>
      </c>
      <c r="L203" s="1" t="s">
        <v>840</v>
      </c>
      <c r="M203" s="1" t="s">
        <v>853</v>
      </c>
    </row>
    <row r="204" customFormat="false" ht="15" hidden="false" customHeight="true" outlineLevel="0" collapsed="false">
      <c r="A204" s="1" t="s">
        <v>43</v>
      </c>
      <c r="B204" s="1" t="s">
        <v>446</v>
      </c>
      <c r="C204" s="1" t="s">
        <v>854</v>
      </c>
      <c r="D204" s="1" t="s">
        <v>46</v>
      </c>
      <c r="E204" s="1" t="s">
        <v>71</v>
      </c>
      <c r="H204" s="1" t="s">
        <v>855</v>
      </c>
      <c r="J204" s="1" t="s">
        <v>449</v>
      </c>
      <c r="K204" s="1" t="s">
        <v>57</v>
      </c>
      <c r="L204" s="1" t="s">
        <v>840</v>
      </c>
      <c r="M204" s="1" t="s">
        <v>856</v>
      </c>
    </row>
    <row r="205" customFormat="false" ht="15" hidden="false" customHeight="true" outlineLevel="0" collapsed="false">
      <c r="A205" s="1" t="s">
        <v>43</v>
      </c>
      <c r="B205" s="1" t="s">
        <v>446</v>
      </c>
      <c r="C205" s="1" t="s">
        <v>857</v>
      </c>
      <c r="D205" s="1" t="s">
        <v>46</v>
      </c>
      <c r="E205" s="1" t="s">
        <v>71</v>
      </c>
      <c r="H205" s="1" t="s">
        <v>858</v>
      </c>
      <c r="J205" s="1" t="s">
        <v>449</v>
      </c>
      <c r="K205" s="1" t="s">
        <v>57</v>
      </c>
      <c r="L205" s="1" t="s">
        <v>840</v>
      </c>
      <c r="M205" s="1" t="s">
        <v>859</v>
      </c>
    </row>
    <row r="206" customFormat="false" ht="15" hidden="false" customHeight="true" outlineLevel="0" collapsed="false">
      <c r="A206" s="1" t="s">
        <v>43</v>
      </c>
      <c r="B206" s="1" t="s">
        <v>446</v>
      </c>
      <c r="C206" s="1" t="s">
        <v>860</v>
      </c>
      <c r="D206" s="1" t="s">
        <v>46</v>
      </c>
      <c r="E206" s="1" t="s">
        <v>71</v>
      </c>
      <c r="H206" s="1" t="s">
        <v>861</v>
      </c>
      <c r="J206" s="1" t="s">
        <v>449</v>
      </c>
      <c r="K206" s="1" t="s">
        <v>57</v>
      </c>
      <c r="L206" s="1" t="s">
        <v>840</v>
      </c>
      <c r="M206" s="1" t="s">
        <v>862</v>
      </c>
    </row>
    <row r="207" customFormat="false" ht="15" hidden="false" customHeight="true" outlineLevel="0" collapsed="false">
      <c r="A207" s="1" t="s">
        <v>43</v>
      </c>
      <c r="B207" s="1" t="s">
        <v>446</v>
      </c>
      <c r="C207" s="1" t="s">
        <v>863</v>
      </c>
      <c r="D207" s="1" t="s">
        <v>46</v>
      </c>
      <c r="E207" s="1" t="s">
        <v>71</v>
      </c>
      <c r="H207" s="1" t="s">
        <v>864</v>
      </c>
      <c r="J207" s="1" t="s">
        <v>449</v>
      </c>
      <c r="K207" s="1" t="s">
        <v>57</v>
      </c>
      <c r="L207" s="1" t="s">
        <v>840</v>
      </c>
      <c r="M207" s="1" t="s">
        <v>865</v>
      </c>
    </row>
    <row r="208" customFormat="false" ht="15" hidden="false" customHeight="true" outlineLevel="0" collapsed="false">
      <c r="A208" s="1" t="s">
        <v>43</v>
      </c>
      <c r="B208" s="1" t="s">
        <v>446</v>
      </c>
      <c r="C208" s="1" t="s">
        <v>866</v>
      </c>
      <c r="D208" s="1" t="s">
        <v>46</v>
      </c>
      <c r="E208" s="1" t="s">
        <v>71</v>
      </c>
      <c r="H208" s="1" t="s">
        <v>867</v>
      </c>
      <c r="J208" s="1" t="s">
        <v>449</v>
      </c>
      <c r="K208" s="1" t="s">
        <v>57</v>
      </c>
      <c r="L208" s="1" t="s">
        <v>840</v>
      </c>
      <c r="M208" s="1" t="s">
        <v>868</v>
      </c>
    </row>
    <row r="209" customFormat="false" ht="15" hidden="false" customHeight="true" outlineLevel="0" collapsed="false">
      <c r="A209" s="1" t="s">
        <v>43</v>
      </c>
      <c r="B209" s="1" t="s">
        <v>446</v>
      </c>
      <c r="C209" s="1" t="s">
        <v>869</v>
      </c>
      <c r="D209" s="1" t="s">
        <v>46</v>
      </c>
      <c r="E209" s="1" t="s">
        <v>71</v>
      </c>
      <c r="H209" s="1" t="s">
        <v>870</v>
      </c>
      <c r="J209" s="1" t="s">
        <v>449</v>
      </c>
      <c r="K209" s="1" t="s">
        <v>57</v>
      </c>
      <c r="L209" s="1" t="s">
        <v>840</v>
      </c>
      <c r="M209" s="1" t="s">
        <v>871</v>
      </c>
    </row>
    <row r="210" customFormat="false" ht="15" hidden="false" customHeight="true" outlineLevel="0" collapsed="false">
      <c r="A210" s="1" t="s">
        <v>43</v>
      </c>
      <c r="B210" s="1" t="s">
        <v>446</v>
      </c>
      <c r="C210" s="1" t="s">
        <v>872</v>
      </c>
      <c r="D210" s="1" t="s">
        <v>46</v>
      </c>
      <c r="E210" s="1" t="s">
        <v>71</v>
      </c>
      <c r="H210" s="1" t="s">
        <v>873</v>
      </c>
      <c r="J210" s="1" t="s">
        <v>449</v>
      </c>
      <c r="K210" s="1" t="s">
        <v>57</v>
      </c>
      <c r="L210" s="1" t="s">
        <v>840</v>
      </c>
      <c r="M210" s="1" t="s">
        <v>874</v>
      </c>
    </row>
    <row r="211" customFormat="false" ht="15" hidden="false" customHeight="true" outlineLevel="0" collapsed="false">
      <c r="A211" s="1" t="s">
        <v>43</v>
      </c>
      <c r="B211" s="1" t="s">
        <v>446</v>
      </c>
      <c r="C211" s="1" t="s">
        <v>875</v>
      </c>
      <c r="D211" s="1" t="s">
        <v>46</v>
      </c>
      <c r="E211" s="1" t="s">
        <v>47</v>
      </c>
      <c r="H211" s="1" t="s">
        <v>876</v>
      </c>
      <c r="J211" s="1" t="s">
        <v>449</v>
      </c>
      <c r="K211" s="1" t="s">
        <v>57</v>
      </c>
      <c r="L211" s="1" t="s">
        <v>840</v>
      </c>
      <c r="M211" s="1" t="s">
        <v>877</v>
      </c>
    </row>
    <row r="212" customFormat="false" ht="15" hidden="false" customHeight="true" outlineLevel="0" collapsed="false">
      <c r="A212" s="1" t="s">
        <v>43</v>
      </c>
      <c r="B212" s="1" t="s">
        <v>446</v>
      </c>
      <c r="C212" s="1" t="s">
        <v>878</v>
      </c>
      <c r="D212" s="1" t="s">
        <v>46</v>
      </c>
      <c r="E212" s="1" t="s">
        <v>47</v>
      </c>
      <c r="H212" s="1" t="s">
        <v>879</v>
      </c>
      <c r="J212" s="1" t="s">
        <v>449</v>
      </c>
      <c r="K212" s="1" t="s">
        <v>57</v>
      </c>
      <c r="L212" s="1" t="s">
        <v>840</v>
      </c>
      <c r="M212" s="1" t="s">
        <v>880</v>
      </c>
    </row>
    <row r="213" customFormat="false" ht="15" hidden="false" customHeight="true" outlineLevel="0" collapsed="false">
      <c r="A213" s="1" t="s">
        <v>43</v>
      </c>
      <c r="B213" s="1" t="s">
        <v>446</v>
      </c>
      <c r="C213" s="1" t="s">
        <v>881</v>
      </c>
      <c r="D213" s="1" t="s">
        <v>46</v>
      </c>
      <c r="E213" s="1" t="s">
        <v>62</v>
      </c>
      <c r="H213" s="1" t="s">
        <v>882</v>
      </c>
      <c r="J213" s="1" t="s">
        <v>449</v>
      </c>
      <c r="K213" s="1" t="s">
        <v>57</v>
      </c>
      <c r="L213" s="1" t="s">
        <v>840</v>
      </c>
      <c r="M213" s="1" t="s">
        <v>883</v>
      </c>
    </row>
    <row r="214" customFormat="false" ht="15" hidden="false" customHeight="true" outlineLevel="0" collapsed="false">
      <c r="A214" s="1" t="s">
        <v>43</v>
      </c>
      <c r="B214" s="1" t="s">
        <v>446</v>
      </c>
      <c r="C214" s="1" t="s">
        <v>884</v>
      </c>
      <c r="D214" s="1" t="s">
        <v>46</v>
      </c>
      <c r="E214" s="1" t="s">
        <v>201</v>
      </c>
      <c r="H214" s="1" t="s">
        <v>885</v>
      </c>
      <c r="J214" s="1" t="s">
        <v>449</v>
      </c>
      <c r="K214" s="1" t="s">
        <v>90</v>
      </c>
      <c r="L214" s="1" t="s">
        <v>840</v>
      </c>
      <c r="M214" s="1" t="s">
        <v>886</v>
      </c>
    </row>
    <row r="215" customFormat="false" ht="15" hidden="false" customHeight="true" outlineLevel="0" collapsed="false">
      <c r="A215" s="1" t="s">
        <v>43</v>
      </c>
      <c r="B215" s="1" t="s">
        <v>446</v>
      </c>
      <c r="C215" s="1" t="s">
        <v>887</v>
      </c>
      <c r="D215" s="1" t="s">
        <v>46</v>
      </c>
      <c r="E215" s="1" t="s">
        <v>201</v>
      </c>
      <c r="H215" s="1" t="s">
        <v>888</v>
      </c>
      <c r="J215" s="1" t="s">
        <v>449</v>
      </c>
      <c r="K215" s="1" t="s">
        <v>90</v>
      </c>
      <c r="L215" s="1" t="s">
        <v>840</v>
      </c>
      <c r="M215" s="1" t="s">
        <v>889</v>
      </c>
    </row>
    <row r="216" customFormat="false" ht="15" hidden="false" customHeight="true" outlineLevel="0" collapsed="false">
      <c r="A216" s="1" t="s">
        <v>43</v>
      </c>
      <c r="B216" s="1" t="s">
        <v>529</v>
      </c>
      <c r="C216" s="1" t="s">
        <v>890</v>
      </c>
      <c r="D216" s="1" t="s">
        <v>46</v>
      </c>
      <c r="E216" s="1" t="s">
        <v>71</v>
      </c>
      <c r="J216" s="1" t="s">
        <v>532</v>
      </c>
      <c r="K216" s="1" t="s">
        <v>112</v>
      </c>
      <c r="L216" s="1" t="s">
        <v>891</v>
      </c>
      <c r="M216" s="1" t="s">
        <v>892</v>
      </c>
    </row>
    <row r="217" customFormat="false" ht="15" hidden="false" customHeight="true" outlineLevel="0" collapsed="false">
      <c r="A217" s="1" t="s">
        <v>43</v>
      </c>
      <c r="B217" s="1" t="s">
        <v>529</v>
      </c>
      <c r="C217" s="1" t="s">
        <v>893</v>
      </c>
      <c r="D217" s="1" t="s">
        <v>46</v>
      </c>
      <c r="E217" s="1" t="s">
        <v>47</v>
      </c>
      <c r="J217" s="1" t="s">
        <v>532</v>
      </c>
      <c r="K217" s="1" t="s">
        <v>112</v>
      </c>
      <c r="L217" s="1" t="s">
        <v>894</v>
      </c>
      <c r="M217" s="1" t="s">
        <v>895</v>
      </c>
    </row>
    <row r="218" customFormat="false" ht="15" hidden="false" customHeight="true" outlineLevel="0" collapsed="false">
      <c r="A218" s="1" t="s">
        <v>43</v>
      </c>
      <c r="B218" s="1" t="s">
        <v>529</v>
      </c>
      <c r="C218" s="1" t="s">
        <v>896</v>
      </c>
      <c r="D218" s="1" t="s">
        <v>46</v>
      </c>
      <c r="E218" s="1" t="s">
        <v>62</v>
      </c>
      <c r="J218" s="1" t="s">
        <v>532</v>
      </c>
      <c r="K218" s="1" t="s">
        <v>112</v>
      </c>
      <c r="L218" s="1" t="s">
        <v>897</v>
      </c>
      <c r="M218" s="1" t="s">
        <v>898</v>
      </c>
    </row>
    <row r="219" customFormat="false" ht="15" hidden="false" customHeight="true" outlineLevel="0" collapsed="false">
      <c r="A219" s="1" t="s">
        <v>43</v>
      </c>
      <c r="B219" s="1" t="s">
        <v>529</v>
      </c>
      <c r="C219" s="1" t="s">
        <v>899</v>
      </c>
      <c r="D219" s="1" t="s">
        <v>46</v>
      </c>
      <c r="E219" s="1" t="s">
        <v>201</v>
      </c>
      <c r="J219" s="1" t="s">
        <v>532</v>
      </c>
      <c r="K219" s="1" t="s">
        <v>90</v>
      </c>
      <c r="L219" s="1" t="s">
        <v>900</v>
      </c>
      <c r="M219" s="1" t="s">
        <v>901</v>
      </c>
    </row>
    <row r="220" customFormat="false" ht="15" hidden="false" customHeight="true" outlineLevel="0" collapsed="false">
      <c r="A220" s="1" t="s">
        <v>43</v>
      </c>
      <c r="B220" s="1" t="s">
        <v>529</v>
      </c>
      <c r="C220" s="1" t="s">
        <v>902</v>
      </c>
      <c r="D220" s="1" t="s">
        <v>46</v>
      </c>
      <c r="E220" s="1" t="s">
        <v>201</v>
      </c>
      <c r="J220" s="1" t="s">
        <v>532</v>
      </c>
      <c r="K220" s="1" t="s">
        <v>90</v>
      </c>
      <c r="M220" s="1" t="s">
        <v>903</v>
      </c>
    </row>
    <row r="221" customFormat="false" ht="15" hidden="false" customHeight="true" outlineLevel="0" collapsed="false">
      <c r="A221" s="1" t="s">
        <v>43</v>
      </c>
      <c r="B221" s="1" t="s">
        <v>615</v>
      </c>
      <c r="C221" s="1" t="s">
        <v>904</v>
      </c>
      <c r="D221" s="1" t="s">
        <v>46</v>
      </c>
      <c r="E221" s="1" t="s">
        <v>201</v>
      </c>
      <c r="J221" s="1" t="s">
        <v>617</v>
      </c>
      <c r="K221" s="1" t="s">
        <v>112</v>
      </c>
      <c r="L221" s="1" t="s">
        <v>905</v>
      </c>
      <c r="M221" s="1" t="s">
        <v>906</v>
      </c>
    </row>
    <row r="222" customFormat="false" ht="15" hidden="false" customHeight="true" outlineLevel="0" collapsed="false">
      <c r="A222" s="1" t="s">
        <v>43</v>
      </c>
      <c r="B222" s="1" t="s">
        <v>615</v>
      </c>
      <c r="C222" s="1" t="s">
        <v>907</v>
      </c>
      <c r="D222" s="1" t="s">
        <v>74</v>
      </c>
      <c r="E222" s="1" t="s">
        <v>62</v>
      </c>
      <c r="J222" s="1" t="s">
        <v>908</v>
      </c>
      <c r="K222" s="1" t="s">
        <v>90</v>
      </c>
      <c r="L222" s="1" t="s">
        <v>909</v>
      </c>
      <c r="M222" s="1" t="s">
        <v>910</v>
      </c>
    </row>
    <row r="223" customFormat="false" ht="15" hidden="false" customHeight="true" outlineLevel="0" collapsed="false">
      <c r="A223" s="1" t="s">
        <v>43</v>
      </c>
      <c r="B223" s="1" t="s">
        <v>615</v>
      </c>
      <c r="C223" s="1" t="s">
        <v>911</v>
      </c>
      <c r="D223" s="1" t="s">
        <v>74</v>
      </c>
      <c r="E223" s="1" t="s">
        <v>62</v>
      </c>
      <c r="J223" s="1" t="s">
        <v>908</v>
      </c>
      <c r="K223" s="1" t="s">
        <v>112</v>
      </c>
      <c r="L223" s="1" t="s">
        <v>912</v>
      </c>
      <c r="M223" s="1" t="s">
        <v>913</v>
      </c>
    </row>
    <row r="224" customFormat="false" ht="15" hidden="false" customHeight="true" outlineLevel="0" collapsed="false">
      <c r="A224" s="1" t="s">
        <v>43</v>
      </c>
      <c r="B224" s="1" t="s">
        <v>702</v>
      </c>
      <c r="C224" s="1" t="s">
        <v>914</v>
      </c>
      <c r="D224" s="1" t="s">
        <v>74</v>
      </c>
      <c r="E224" s="1" t="s">
        <v>62</v>
      </c>
      <c r="H224" s="1" t="s">
        <v>915</v>
      </c>
      <c r="J224" s="1" t="s">
        <v>705</v>
      </c>
      <c r="K224" s="1" t="s">
        <v>57</v>
      </c>
      <c r="L224" s="1" t="s">
        <v>916</v>
      </c>
      <c r="M224" s="1" t="s">
        <v>917</v>
      </c>
    </row>
    <row r="225" customFormat="false" ht="15" hidden="false" customHeight="true" outlineLevel="0" collapsed="false">
      <c r="A225" s="1" t="s">
        <v>43</v>
      </c>
      <c r="B225" s="1" t="s">
        <v>737</v>
      </c>
      <c r="C225" s="1" t="s">
        <v>918</v>
      </c>
      <c r="D225" s="1" t="s">
        <v>46</v>
      </c>
      <c r="E225" s="1" t="s">
        <v>71</v>
      </c>
      <c r="H225" s="1" t="s">
        <v>919</v>
      </c>
      <c r="J225" s="1" t="s">
        <v>740</v>
      </c>
      <c r="K225" s="1" t="s">
        <v>57</v>
      </c>
      <c r="L225" s="1" t="s">
        <v>920</v>
      </c>
      <c r="M225" s="1" t="s">
        <v>921</v>
      </c>
    </row>
    <row r="226" customFormat="false" ht="15" hidden="false" customHeight="true" outlineLevel="0" collapsed="false">
      <c r="A226" s="1" t="s">
        <v>43</v>
      </c>
      <c r="B226" s="1" t="s">
        <v>737</v>
      </c>
      <c r="C226" s="1" t="s">
        <v>922</v>
      </c>
      <c r="D226" s="1" t="s">
        <v>46</v>
      </c>
      <c r="E226" s="1" t="s">
        <v>71</v>
      </c>
      <c r="H226" s="1" t="s">
        <v>923</v>
      </c>
      <c r="J226" s="1" t="s">
        <v>740</v>
      </c>
      <c r="K226" s="1" t="s">
        <v>57</v>
      </c>
      <c r="L226" s="1" t="s">
        <v>920</v>
      </c>
      <c r="M226" s="1" t="s">
        <v>924</v>
      </c>
    </row>
    <row r="227" customFormat="false" ht="15" hidden="false" customHeight="true" outlineLevel="0" collapsed="false">
      <c r="A227" s="1" t="s">
        <v>43</v>
      </c>
      <c r="B227" s="1" t="s">
        <v>737</v>
      </c>
      <c r="C227" s="1" t="s">
        <v>925</v>
      </c>
      <c r="D227" s="1" t="s">
        <v>46</v>
      </c>
      <c r="E227" s="1" t="s">
        <v>71</v>
      </c>
      <c r="H227" s="1" t="s">
        <v>926</v>
      </c>
      <c r="J227" s="1" t="s">
        <v>740</v>
      </c>
      <c r="K227" s="1" t="s">
        <v>57</v>
      </c>
      <c r="L227" s="1" t="s">
        <v>920</v>
      </c>
      <c r="M227" s="1" t="s">
        <v>927</v>
      </c>
    </row>
    <row r="228" customFormat="false" ht="15" hidden="false" customHeight="true" outlineLevel="0" collapsed="false">
      <c r="A228" s="1" t="s">
        <v>43</v>
      </c>
      <c r="B228" s="1" t="s">
        <v>737</v>
      </c>
      <c r="C228" s="1" t="s">
        <v>928</v>
      </c>
      <c r="D228" s="1" t="s">
        <v>46</v>
      </c>
      <c r="E228" s="1" t="s">
        <v>71</v>
      </c>
      <c r="H228" s="1" t="s">
        <v>929</v>
      </c>
      <c r="J228" s="1" t="s">
        <v>740</v>
      </c>
      <c r="K228" s="1" t="s">
        <v>57</v>
      </c>
      <c r="L228" s="1" t="s">
        <v>920</v>
      </c>
      <c r="M228" s="1" t="s">
        <v>930</v>
      </c>
    </row>
    <row r="229" customFormat="false" ht="15" hidden="false" customHeight="true" outlineLevel="0" collapsed="false">
      <c r="A229" s="1" t="s">
        <v>43</v>
      </c>
      <c r="B229" s="1" t="s">
        <v>748</v>
      </c>
      <c r="C229" s="1" t="s">
        <v>931</v>
      </c>
      <c r="D229" s="1" t="s">
        <v>46</v>
      </c>
      <c r="E229" s="1" t="s">
        <v>71</v>
      </c>
      <c r="H229" s="1" t="s">
        <v>932</v>
      </c>
      <c r="J229" s="1" t="s">
        <v>751</v>
      </c>
      <c r="K229" s="1" t="s">
        <v>57</v>
      </c>
      <c r="L229" s="1" t="s">
        <v>933</v>
      </c>
      <c r="M229" s="1" t="s">
        <v>934</v>
      </c>
    </row>
    <row r="230" customFormat="false" ht="15" hidden="false" customHeight="true" outlineLevel="0" collapsed="false">
      <c r="A230" s="1" t="s">
        <v>43</v>
      </c>
      <c r="B230" s="1" t="s">
        <v>748</v>
      </c>
      <c r="C230" s="1" t="s">
        <v>935</v>
      </c>
      <c r="D230" s="1" t="s">
        <v>46</v>
      </c>
      <c r="E230" s="1" t="s">
        <v>71</v>
      </c>
      <c r="J230" s="1" t="s">
        <v>751</v>
      </c>
      <c r="K230" s="1" t="s">
        <v>112</v>
      </c>
      <c r="L230" s="1" t="s">
        <v>936</v>
      </c>
      <c r="M230" s="1" t="s">
        <v>937</v>
      </c>
    </row>
    <row r="231" customFormat="false" ht="15" hidden="false" customHeight="true" outlineLevel="0" collapsed="false">
      <c r="A231" s="1" t="s">
        <v>43</v>
      </c>
      <c r="B231" s="1" t="s">
        <v>561</v>
      </c>
      <c r="C231" s="1" t="s">
        <v>938</v>
      </c>
      <c r="D231" s="1" t="s">
        <v>46</v>
      </c>
      <c r="E231" s="1" t="s">
        <v>62</v>
      </c>
      <c r="H231" s="1" t="s">
        <v>939</v>
      </c>
      <c r="J231" s="1" t="s">
        <v>564</v>
      </c>
      <c r="K231" s="1" t="s">
        <v>57</v>
      </c>
      <c r="L231" s="1" t="s">
        <v>565</v>
      </c>
      <c r="M231" s="1" t="s">
        <v>940</v>
      </c>
    </row>
    <row r="232" customFormat="false" ht="15" hidden="false" customHeight="true" outlineLevel="0" collapsed="false">
      <c r="A232" s="1" t="s">
        <v>43</v>
      </c>
      <c r="B232" s="1" t="s">
        <v>561</v>
      </c>
      <c r="C232" s="1" t="s">
        <v>941</v>
      </c>
      <c r="D232" s="1" t="s">
        <v>46</v>
      </c>
      <c r="E232" s="1" t="s">
        <v>71</v>
      </c>
      <c r="H232" s="1" t="s">
        <v>942</v>
      </c>
      <c r="J232" s="1" t="s">
        <v>564</v>
      </c>
      <c r="K232" s="1" t="s">
        <v>943</v>
      </c>
      <c r="L232" s="1" t="s">
        <v>944</v>
      </c>
      <c r="M232" s="1" t="s">
        <v>945</v>
      </c>
    </row>
    <row r="233" customFormat="false" ht="15" hidden="false" customHeight="true" outlineLevel="0" collapsed="false">
      <c r="A233" s="1" t="s">
        <v>43</v>
      </c>
      <c r="B233" s="1" t="s">
        <v>561</v>
      </c>
      <c r="C233" s="1" t="s">
        <v>946</v>
      </c>
      <c r="D233" s="1" t="s">
        <v>46</v>
      </c>
      <c r="E233" s="1" t="s">
        <v>71</v>
      </c>
      <c r="H233" s="1" t="s">
        <v>942</v>
      </c>
      <c r="J233" s="1" t="s">
        <v>564</v>
      </c>
      <c r="K233" s="1" t="s">
        <v>947</v>
      </c>
      <c r="L233" s="1" t="s">
        <v>565</v>
      </c>
      <c r="M233" s="1" t="s">
        <v>948</v>
      </c>
    </row>
    <row r="234" customFormat="false" ht="15" hidden="false" customHeight="true" outlineLevel="0" collapsed="false">
      <c r="A234" s="1" t="s">
        <v>43</v>
      </c>
      <c r="B234" s="1" t="s">
        <v>548</v>
      </c>
      <c r="C234" s="1" t="s">
        <v>949</v>
      </c>
      <c r="D234" s="1" t="s">
        <v>46</v>
      </c>
      <c r="E234" s="1" t="s">
        <v>47</v>
      </c>
      <c r="J234" s="1" t="s">
        <v>551</v>
      </c>
      <c r="K234" s="1" t="s">
        <v>112</v>
      </c>
      <c r="L234" s="1" t="s">
        <v>950</v>
      </c>
      <c r="M234" s="1" t="s">
        <v>951</v>
      </c>
    </row>
    <row r="235" customFormat="false" ht="15" hidden="false" customHeight="true" outlineLevel="0" collapsed="false">
      <c r="A235" s="1" t="s">
        <v>43</v>
      </c>
      <c r="B235" s="1" t="s">
        <v>269</v>
      </c>
      <c r="C235" s="1" t="s">
        <v>952</v>
      </c>
      <c r="D235" s="1" t="s">
        <v>74</v>
      </c>
      <c r="E235" s="1" t="s">
        <v>47</v>
      </c>
      <c r="H235" s="1" t="s">
        <v>953</v>
      </c>
      <c r="J235" s="1" t="s">
        <v>954</v>
      </c>
      <c r="K235" s="1" t="s">
        <v>57</v>
      </c>
      <c r="L235" s="1" t="s">
        <v>273</v>
      </c>
      <c r="M235" s="1" t="s">
        <v>955</v>
      </c>
    </row>
    <row r="236" customFormat="false" ht="15" hidden="false" customHeight="true" outlineLevel="0" collapsed="false">
      <c r="A236" s="1" t="s">
        <v>43</v>
      </c>
      <c r="B236" s="1" t="s">
        <v>269</v>
      </c>
      <c r="C236" s="1" t="s">
        <v>956</v>
      </c>
      <c r="D236" s="1" t="s">
        <v>74</v>
      </c>
      <c r="E236" s="1" t="s">
        <v>47</v>
      </c>
      <c r="H236" s="1" t="s">
        <v>957</v>
      </c>
      <c r="J236" s="1" t="s">
        <v>954</v>
      </c>
      <c r="K236" s="1" t="s">
        <v>57</v>
      </c>
      <c r="L236" s="1" t="s">
        <v>273</v>
      </c>
      <c r="M236" s="1" t="s">
        <v>958</v>
      </c>
    </row>
    <row r="237" customFormat="false" ht="15" hidden="false" customHeight="true" outlineLevel="0" collapsed="false">
      <c r="A237" s="1" t="s">
        <v>43</v>
      </c>
      <c r="B237" s="1" t="s">
        <v>269</v>
      </c>
      <c r="C237" s="1" t="s">
        <v>959</v>
      </c>
      <c r="D237" s="1" t="s">
        <v>74</v>
      </c>
      <c r="E237" s="1" t="s">
        <v>62</v>
      </c>
      <c r="H237" s="1" t="s">
        <v>960</v>
      </c>
      <c r="J237" s="1" t="s">
        <v>954</v>
      </c>
      <c r="K237" s="1" t="s">
        <v>57</v>
      </c>
      <c r="L237" s="1" t="s">
        <v>273</v>
      </c>
      <c r="M237" s="1" t="s">
        <v>961</v>
      </c>
    </row>
    <row r="238" customFormat="false" ht="15" hidden="false" customHeight="true" outlineLevel="0" collapsed="false">
      <c r="A238" s="1" t="s">
        <v>43</v>
      </c>
      <c r="B238" s="1" t="s">
        <v>320</v>
      </c>
      <c r="C238" s="1" t="s">
        <v>962</v>
      </c>
      <c r="D238" s="1" t="s">
        <v>46</v>
      </c>
      <c r="E238" s="1" t="s">
        <v>125</v>
      </c>
      <c r="J238" s="1" t="s">
        <v>323</v>
      </c>
      <c r="K238" s="1" t="s">
        <v>112</v>
      </c>
      <c r="L238" s="1" t="s">
        <v>963</v>
      </c>
      <c r="M238" s="1" t="s">
        <v>964</v>
      </c>
    </row>
    <row r="239" customFormat="false" ht="15" hidden="false" customHeight="true" outlineLevel="0" collapsed="false">
      <c r="A239" s="1" t="s">
        <v>43</v>
      </c>
      <c r="B239" s="1" t="s">
        <v>587</v>
      </c>
      <c r="C239" s="1" t="s">
        <v>965</v>
      </c>
      <c r="D239" s="1" t="s">
        <v>46</v>
      </c>
      <c r="E239" s="1" t="s">
        <v>71</v>
      </c>
      <c r="H239" s="1" t="s">
        <v>589</v>
      </c>
      <c r="J239" s="1" t="s">
        <v>590</v>
      </c>
      <c r="K239" s="1" t="s">
        <v>57</v>
      </c>
      <c r="L239" s="1" t="s">
        <v>966</v>
      </c>
      <c r="M239" s="1" t="s">
        <v>967</v>
      </c>
    </row>
    <row r="240" customFormat="false" ht="15" hidden="false" customHeight="true" outlineLevel="0" collapsed="false">
      <c r="A240" s="1" t="s">
        <v>43</v>
      </c>
      <c r="B240" s="1" t="s">
        <v>587</v>
      </c>
      <c r="C240" s="1" t="s">
        <v>968</v>
      </c>
      <c r="D240" s="1" t="s">
        <v>46</v>
      </c>
      <c r="E240" s="1" t="s">
        <v>47</v>
      </c>
      <c r="H240" s="1" t="s">
        <v>589</v>
      </c>
      <c r="J240" s="1" t="s">
        <v>590</v>
      </c>
      <c r="K240" s="1" t="s">
        <v>57</v>
      </c>
      <c r="L240" s="1" t="s">
        <v>966</v>
      </c>
      <c r="M240" s="1" t="s">
        <v>969</v>
      </c>
    </row>
    <row r="241" customFormat="false" ht="15" hidden="false" customHeight="true" outlineLevel="0" collapsed="false">
      <c r="A241" s="1" t="s">
        <v>43</v>
      </c>
      <c r="B241" s="1" t="s">
        <v>587</v>
      </c>
      <c r="C241" s="1" t="s">
        <v>970</v>
      </c>
      <c r="D241" s="1" t="s">
        <v>46</v>
      </c>
      <c r="E241" s="1" t="s">
        <v>71</v>
      </c>
      <c r="H241" s="1" t="s">
        <v>589</v>
      </c>
      <c r="J241" s="1" t="s">
        <v>590</v>
      </c>
      <c r="K241" s="1" t="s">
        <v>57</v>
      </c>
      <c r="L241" s="1" t="s">
        <v>966</v>
      </c>
      <c r="M241" s="1" t="s">
        <v>971</v>
      </c>
    </row>
    <row r="242" customFormat="false" ht="15" hidden="false" customHeight="true" outlineLevel="0" collapsed="false">
      <c r="A242" s="1" t="s">
        <v>43</v>
      </c>
      <c r="B242" s="1" t="s">
        <v>587</v>
      </c>
      <c r="C242" s="1" t="s">
        <v>972</v>
      </c>
      <c r="D242" s="1" t="s">
        <v>46</v>
      </c>
      <c r="E242" s="1" t="s">
        <v>62</v>
      </c>
      <c r="H242" s="1" t="s">
        <v>594</v>
      </c>
      <c r="J242" s="1" t="s">
        <v>590</v>
      </c>
      <c r="K242" s="1" t="s">
        <v>973</v>
      </c>
      <c r="L242" s="1" t="s">
        <v>974</v>
      </c>
      <c r="M242" s="1" t="s">
        <v>975</v>
      </c>
    </row>
    <row r="243" customFormat="false" ht="15" hidden="false" customHeight="true" outlineLevel="0" collapsed="false">
      <c r="A243" s="1" t="s">
        <v>43</v>
      </c>
      <c r="B243" s="1" t="s">
        <v>370</v>
      </c>
      <c r="C243" s="1" t="s">
        <v>976</v>
      </c>
      <c r="D243" s="1" t="s">
        <v>46</v>
      </c>
      <c r="E243" s="1" t="s">
        <v>62</v>
      </c>
      <c r="H243" s="1" t="s">
        <v>977</v>
      </c>
      <c r="J243" s="1" t="s">
        <v>373</v>
      </c>
      <c r="K243" s="1" t="s">
        <v>57</v>
      </c>
      <c r="L243" s="1" t="s">
        <v>374</v>
      </c>
      <c r="M243" s="1" t="s">
        <v>978</v>
      </c>
    </row>
    <row r="244" customFormat="false" ht="15" hidden="false" customHeight="true" outlineLevel="0" collapsed="false">
      <c r="A244" s="1" t="s">
        <v>43</v>
      </c>
      <c r="B244" s="1" t="s">
        <v>370</v>
      </c>
      <c r="C244" s="1" t="s">
        <v>979</v>
      </c>
      <c r="D244" s="1" t="s">
        <v>46</v>
      </c>
      <c r="E244" s="1" t="s">
        <v>62</v>
      </c>
      <c r="H244" s="1" t="s">
        <v>980</v>
      </c>
      <c r="J244" s="1" t="s">
        <v>373</v>
      </c>
      <c r="K244" s="1" t="s">
        <v>57</v>
      </c>
      <c r="L244" s="1" t="s">
        <v>374</v>
      </c>
      <c r="M244" s="1" t="s">
        <v>981</v>
      </c>
    </row>
    <row r="245" customFormat="false" ht="15" hidden="false" customHeight="true" outlineLevel="0" collapsed="false">
      <c r="A245" s="1" t="s">
        <v>43</v>
      </c>
      <c r="B245" s="1" t="s">
        <v>370</v>
      </c>
      <c r="C245" s="1" t="s">
        <v>982</v>
      </c>
      <c r="D245" s="1" t="s">
        <v>46</v>
      </c>
      <c r="E245" s="1" t="s">
        <v>62</v>
      </c>
      <c r="H245" s="1" t="s">
        <v>983</v>
      </c>
      <c r="J245" s="1" t="s">
        <v>373</v>
      </c>
      <c r="K245" s="1" t="s">
        <v>57</v>
      </c>
      <c r="L245" s="1" t="s">
        <v>374</v>
      </c>
      <c r="M245" s="1" t="s">
        <v>984</v>
      </c>
    </row>
    <row r="246" customFormat="false" ht="15" hidden="false" customHeight="true" outlineLevel="0" collapsed="false">
      <c r="A246" s="1" t="s">
        <v>43</v>
      </c>
      <c r="B246" s="1" t="s">
        <v>370</v>
      </c>
      <c r="C246" s="1" t="s">
        <v>985</v>
      </c>
      <c r="D246" s="1" t="s">
        <v>46</v>
      </c>
      <c r="E246" s="1" t="s">
        <v>71</v>
      </c>
      <c r="H246" s="1" t="s">
        <v>380</v>
      </c>
      <c r="J246" s="1" t="s">
        <v>373</v>
      </c>
      <c r="K246" s="1" t="s">
        <v>57</v>
      </c>
      <c r="L246" s="1" t="s">
        <v>374</v>
      </c>
      <c r="M246" s="1" t="s">
        <v>986</v>
      </c>
    </row>
    <row r="247" customFormat="false" ht="15" hidden="false" customHeight="true" outlineLevel="0" collapsed="false">
      <c r="A247" s="1" t="s">
        <v>43</v>
      </c>
      <c r="B247" s="1" t="s">
        <v>370</v>
      </c>
      <c r="C247" s="1" t="s">
        <v>987</v>
      </c>
      <c r="D247" s="1" t="s">
        <v>46</v>
      </c>
      <c r="E247" s="1" t="s">
        <v>62</v>
      </c>
      <c r="J247" s="1" t="s">
        <v>373</v>
      </c>
      <c r="K247" s="1" t="s">
        <v>90</v>
      </c>
      <c r="L247" s="1" t="s">
        <v>988</v>
      </c>
      <c r="M247" s="1" t="s">
        <v>989</v>
      </c>
    </row>
    <row r="248" customFormat="false" ht="15" hidden="false" customHeight="true" outlineLevel="0" collapsed="false">
      <c r="A248" s="1" t="s">
        <v>43</v>
      </c>
      <c r="B248" s="1" t="s">
        <v>194</v>
      </c>
      <c r="C248" s="1" t="s">
        <v>990</v>
      </c>
      <c r="D248" s="1" t="s">
        <v>46</v>
      </c>
      <c r="E248" s="1" t="s">
        <v>47</v>
      </c>
      <c r="H248" s="1" t="s">
        <v>991</v>
      </c>
      <c r="J248" s="1" t="s">
        <v>197</v>
      </c>
      <c r="K248" s="1" t="s">
        <v>57</v>
      </c>
      <c r="L248" s="1" t="s">
        <v>198</v>
      </c>
      <c r="M248" s="1" t="s">
        <v>992</v>
      </c>
    </row>
    <row r="249" customFormat="false" ht="15" hidden="false" customHeight="true" outlineLevel="0" collapsed="false">
      <c r="A249" s="1" t="s">
        <v>43</v>
      </c>
      <c r="B249" s="1" t="s">
        <v>194</v>
      </c>
      <c r="C249" s="1" t="s">
        <v>993</v>
      </c>
      <c r="D249" s="1" t="s">
        <v>46</v>
      </c>
      <c r="E249" s="1" t="s">
        <v>71</v>
      </c>
      <c r="H249" s="1" t="s">
        <v>994</v>
      </c>
      <c r="J249" s="1" t="s">
        <v>197</v>
      </c>
      <c r="K249" s="1" t="s">
        <v>57</v>
      </c>
      <c r="L249" s="1" t="s">
        <v>198</v>
      </c>
      <c r="M249" s="1" t="s">
        <v>995</v>
      </c>
    </row>
    <row r="250" customFormat="false" ht="15" hidden="false" customHeight="true" outlineLevel="0" collapsed="false">
      <c r="A250" s="1" t="s">
        <v>43</v>
      </c>
      <c r="B250" s="1" t="s">
        <v>194</v>
      </c>
      <c r="C250" s="1" t="s">
        <v>996</v>
      </c>
      <c r="D250" s="1" t="s">
        <v>46</v>
      </c>
      <c r="E250" s="1" t="s">
        <v>71</v>
      </c>
      <c r="H250" s="1" t="s">
        <v>997</v>
      </c>
      <c r="J250" s="1" t="s">
        <v>197</v>
      </c>
      <c r="K250" s="1" t="s">
        <v>57</v>
      </c>
      <c r="L250" s="1" t="s">
        <v>198</v>
      </c>
      <c r="M250" s="1" t="s">
        <v>998</v>
      </c>
    </row>
    <row r="251" customFormat="false" ht="15" hidden="false" customHeight="true" outlineLevel="0" collapsed="false">
      <c r="A251" s="1" t="s">
        <v>43</v>
      </c>
      <c r="B251" s="1" t="s">
        <v>365</v>
      </c>
      <c r="C251" s="1" t="s">
        <v>999</v>
      </c>
      <c r="D251" s="1" t="s">
        <v>46</v>
      </c>
      <c r="E251" s="1" t="s">
        <v>62</v>
      </c>
      <c r="H251" s="1" t="s">
        <v>1000</v>
      </c>
      <c r="J251" s="1" t="s">
        <v>368</v>
      </c>
      <c r="K251" s="1" t="s">
        <v>57</v>
      </c>
      <c r="L251" s="1" t="s">
        <v>1001</v>
      </c>
      <c r="M251" s="1" t="s">
        <v>1002</v>
      </c>
    </row>
    <row r="252" customFormat="false" ht="15" hidden="false" customHeight="true" outlineLevel="0" collapsed="false">
      <c r="A252" s="1" t="s">
        <v>43</v>
      </c>
      <c r="B252" s="1" t="s">
        <v>365</v>
      </c>
      <c r="C252" s="1" t="s">
        <v>1003</v>
      </c>
      <c r="D252" s="1" t="s">
        <v>46</v>
      </c>
      <c r="E252" s="1" t="s">
        <v>62</v>
      </c>
      <c r="H252" s="1" t="s">
        <v>1000</v>
      </c>
      <c r="J252" s="1" t="s">
        <v>368</v>
      </c>
      <c r="K252" s="1" t="s">
        <v>57</v>
      </c>
      <c r="L252" s="1" t="s">
        <v>1001</v>
      </c>
      <c r="M252" s="1" t="s">
        <v>1004</v>
      </c>
    </row>
    <row r="253" customFormat="false" ht="15" hidden="false" customHeight="true" outlineLevel="0" collapsed="false">
      <c r="A253" s="1" t="s">
        <v>43</v>
      </c>
      <c r="B253" s="1" t="s">
        <v>365</v>
      </c>
      <c r="C253" s="1" t="s">
        <v>1005</v>
      </c>
      <c r="D253" s="1" t="s">
        <v>46</v>
      </c>
      <c r="E253" s="1" t="s">
        <v>62</v>
      </c>
      <c r="H253" s="1" t="s">
        <v>1006</v>
      </c>
      <c r="J253" s="1" t="s">
        <v>368</v>
      </c>
      <c r="K253" s="1" t="s">
        <v>57</v>
      </c>
      <c r="L253" s="1" t="s">
        <v>1001</v>
      </c>
      <c r="M253" s="1" t="s">
        <v>1007</v>
      </c>
    </row>
    <row r="254" customFormat="false" ht="15" hidden="false" customHeight="true" outlineLevel="0" collapsed="false">
      <c r="A254" s="1" t="s">
        <v>43</v>
      </c>
      <c r="B254" s="1" t="s">
        <v>365</v>
      </c>
      <c r="C254" s="1" t="s">
        <v>1008</v>
      </c>
      <c r="D254" s="1" t="s">
        <v>46</v>
      </c>
      <c r="E254" s="1" t="s">
        <v>71</v>
      </c>
      <c r="H254" s="1" t="s">
        <v>1006</v>
      </c>
      <c r="J254" s="1" t="s">
        <v>368</v>
      </c>
      <c r="K254" s="1" t="s">
        <v>57</v>
      </c>
      <c r="L254" s="1" t="s">
        <v>1001</v>
      </c>
      <c r="M254" s="1" t="s">
        <v>1009</v>
      </c>
    </row>
    <row r="255" customFormat="false" ht="15" hidden="false" customHeight="true" outlineLevel="0" collapsed="false">
      <c r="A255" s="1" t="s">
        <v>43</v>
      </c>
      <c r="B255" s="1" t="s">
        <v>365</v>
      </c>
      <c r="C255" s="1" t="s">
        <v>1010</v>
      </c>
      <c r="D255" s="1" t="s">
        <v>46</v>
      </c>
      <c r="E255" s="1" t="s">
        <v>62</v>
      </c>
      <c r="H255" s="1" t="s">
        <v>1011</v>
      </c>
      <c r="J255" s="1" t="s">
        <v>368</v>
      </c>
      <c r="K255" s="1" t="s">
        <v>57</v>
      </c>
      <c r="L255" s="1" t="s">
        <v>1001</v>
      </c>
      <c r="M255" s="1" t="s">
        <v>1012</v>
      </c>
    </row>
    <row r="256" customFormat="false" ht="15" hidden="false" customHeight="true" outlineLevel="0" collapsed="false">
      <c r="A256" s="1" t="s">
        <v>43</v>
      </c>
      <c r="B256" s="1" t="s">
        <v>365</v>
      </c>
      <c r="C256" s="1" t="s">
        <v>1013</v>
      </c>
      <c r="D256" s="1" t="s">
        <v>46</v>
      </c>
      <c r="E256" s="1" t="s">
        <v>201</v>
      </c>
      <c r="J256" s="1" t="s">
        <v>368</v>
      </c>
      <c r="K256" s="1" t="s">
        <v>112</v>
      </c>
      <c r="L256" s="1" t="s">
        <v>1014</v>
      </c>
      <c r="M256" s="1" t="s">
        <v>1015</v>
      </c>
    </row>
    <row r="257" customFormat="false" ht="15" hidden="false" customHeight="true" outlineLevel="0" collapsed="false">
      <c r="A257" s="1" t="s">
        <v>43</v>
      </c>
      <c r="B257" s="1" t="s">
        <v>569</v>
      </c>
      <c r="C257" s="1" t="s">
        <v>1016</v>
      </c>
      <c r="D257" s="1" t="s">
        <v>46</v>
      </c>
      <c r="E257" s="1" t="s">
        <v>71</v>
      </c>
      <c r="H257" s="1" t="s">
        <v>1017</v>
      </c>
      <c r="J257" s="1" t="s">
        <v>572</v>
      </c>
      <c r="K257" s="1" t="s">
        <v>57</v>
      </c>
      <c r="L257" s="1" t="s">
        <v>583</v>
      </c>
      <c r="M257" s="1" t="s">
        <v>1018</v>
      </c>
    </row>
    <row r="258" customFormat="false" ht="15" hidden="false" customHeight="true" outlineLevel="0" collapsed="false">
      <c r="A258" s="1" t="s">
        <v>43</v>
      </c>
      <c r="B258" s="1" t="s">
        <v>652</v>
      </c>
      <c r="C258" s="1" t="s">
        <v>1019</v>
      </c>
      <c r="D258" s="1" t="s">
        <v>46</v>
      </c>
      <c r="E258" s="1" t="s">
        <v>62</v>
      </c>
      <c r="H258" s="1" t="s">
        <v>1020</v>
      </c>
      <c r="J258" s="1" t="s">
        <v>655</v>
      </c>
      <c r="K258" s="1" t="s">
        <v>57</v>
      </c>
      <c r="L258" s="1" t="s">
        <v>656</v>
      </c>
      <c r="M258" s="1" t="s">
        <v>1021</v>
      </c>
    </row>
    <row r="259" customFormat="false" ht="15" hidden="false" customHeight="true" outlineLevel="0" collapsed="false">
      <c r="A259" s="1" t="s">
        <v>43</v>
      </c>
      <c r="B259" s="1" t="s">
        <v>765</v>
      </c>
      <c r="C259" s="1" t="s">
        <v>1022</v>
      </c>
      <c r="D259" s="1" t="s">
        <v>46</v>
      </c>
      <c r="E259" s="1" t="s">
        <v>62</v>
      </c>
      <c r="H259" s="1" t="s">
        <v>1023</v>
      </c>
      <c r="J259" s="1" t="s">
        <v>768</v>
      </c>
      <c r="K259" s="1" t="s">
        <v>57</v>
      </c>
      <c r="L259" s="1" t="s">
        <v>1024</v>
      </c>
      <c r="M259" s="1" t="s">
        <v>1025</v>
      </c>
    </row>
    <row r="260" customFormat="false" ht="15" hidden="false" customHeight="true" outlineLevel="0" collapsed="false">
      <c r="A260" s="1" t="s">
        <v>43</v>
      </c>
      <c r="B260" s="1" t="s">
        <v>1026</v>
      </c>
      <c r="C260" s="1" t="s">
        <v>1027</v>
      </c>
      <c r="D260" s="1" t="s">
        <v>46</v>
      </c>
      <c r="E260" s="1" t="s">
        <v>47</v>
      </c>
      <c r="H260" s="1" t="s">
        <v>1028</v>
      </c>
      <c r="J260" s="1" t="s">
        <v>1029</v>
      </c>
      <c r="K260" s="1" t="s">
        <v>57</v>
      </c>
      <c r="L260" s="1" t="s">
        <v>1030</v>
      </c>
      <c r="M260" s="1" t="s">
        <v>1031</v>
      </c>
    </row>
    <row r="261" customFormat="false" ht="15" hidden="false" customHeight="true" outlineLevel="0" collapsed="false">
      <c r="A261" s="1" t="s">
        <v>43</v>
      </c>
      <c r="B261" s="1" t="s">
        <v>1026</v>
      </c>
      <c r="C261" s="1" t="s">
        <v>1032</v>
      </c>
      <c r="D261" s="1" t="s">
        <v>46</v>
      </c>
      <c r="E261" s="1" t="s">
        <v>47</v>
      </c>
      <c r="H261" s="1" t="s">
        <v>1033</v>
      </c>
      <c r="J261" s="1" t="s">
        <v>1029</v>
      </c>
      <c r="K261" s="1" t="s">
        <v>57</v>
      </c>
      <c r="L261" s="1" t="s">
        <v>1030</v>
      </c>
      <c r="M261" s="1" t="s">
        <v>1034</v>
      </c>
    </row>
    <row r="262" customFormat="false" ht="15" hidden="false" customHeight="true" outlineLevel="0" collapsed="false">
      <c r="A262" s="1" t="s">
        <v>43</v>
      </c>
      <c r="B262" s="1" t="s">
        <v>1026</v>
      </c>
      <c r="C262" s="1" t="s">
        <v>1035</v>
      </c>
      <c r="D262" s="1" t="s">
        <v>46</v>
      </c>
      <c r="E262" s="1" t="s">
        <v>47</v>
      </c>
      <c r="H262" s="1" t="s">
        <v>1036</v>
      </c>
      <c r="J262" s="1" t="s">
        <v>1029</v>
      </c>
      <c r="K262" s="1" t="s">
        <v>57</v>
      </c>
      <c r="L262" s="1" t="s">
        <v>1030</v>
      </c>
      <c r="M262" s="1" t="s">
        <v>1037</v>
      </c>
    </row>
    <row r="263" customFormat="false" ht="15" hidden="false" customHeight="true" outlineLevel="0" collapsed="false">
      <c r="A263" s="1" t="s">
        <v>43</v>
      </c>
      <c r="B263" s="1" t="s">
        <v>1026</v>
      </c>
      <c r="C263" s="1" t="s">
        <v>1038</v>
      </c>
      <c r="D263" s="1" t="s">
        <v>46</v>
      </c>
      <c r="E263" s="1" t="s">
        <v>62</v>
      </c>
      <c r="H263" s="1" t="s">
        <v>1039</v>
      </c>
      <c r="J263" s="1" t="s">
        <v>1029</v>
      </c>
      <c r="K263" s="1" t="s">
        <v>57</v>
      </c>
      <c r="L263" s="1" t="s">
        <v>1030</v>
      </c>
      <c r="M263" s="1" t="s">
        <v>1040</v>
      </c>
    </row>
    <row r="264" customFormat="false" ht="15" hidden="false" customHeight="true" outlineLevel="0" collapsed="false">
      <c r="A264" s="1" t="s">
        <v>43</v>
      </c>
      <c r="B264" s="1" t="s">
        <v>1026</v>
      </c>
      <c r="C264" s="1" t="s">
        <v>1041</v>
      </c>
      <c r="D264" s="1" t="s">
        <v>46</v>
      </c>
      <c r="E264" s="1" t="s">
        <v>47</v>
      </c>
      <c r="H264" s="1" t="s">
        <v>1042</v>
      </c>
      <c r="J264" s="1" t="s">
        <v>1029</v>
      </c>
      <c r="K264" s="1" t="s">
        <v>57</v>
      </c>
      <c r="L264" s="1" t="s">
        <v>1030</v>
      </c>
      <c r="M264" s="1" t="s">
        <v>1043</v>
      </c>
    </row>
    <row r="265" customFormat="false" ht="15" hidden="false" customHeight="true" outlineLevel="0" collapsed="false">
      <c r="A265" s="1" t="s">
        <v>43</v>
      </c>
      <c r="B265" s="1" t="s">
        <v>1026</v>
      </c>
      <c r="C265" s="1" t="s">
        <v>1044</v>
      </c>
      <c r="D265" s="1" t="s">
        <v>74</v>
      </c>
      <c r="E265" s="1" t="s">
        <v>71</v>
      </c>
      <c r="H265" s="1" t="s">
        <v>1045</v>
      </c>
      <c r="J265" s="1" t="s">
        <v>1046</v>
      </c>
      <c r="K265" s="1" t="s">
        <v>57</v>
      </c>
      <c r="L265" s="1" t="s">
        <v>1030</v>
      </c>
      <c r="M265" s="1" t="s">
        <v>1047</v>
      </c>
    </row>
    <row r="266" customFormat="false" ht="15" hidden="false" customHeight="true" outlineLevel="0" collapsed="false">
      <c r="A266" s="1" t="s">
        <v>43</v>
      </c>
      <c r="B266" s="1" t="s">
        <v>1026</v>
      </c>
      <c r="C266" s="1" t="s">
        <v>1048</v>
      </c>
      <c r="D266" s="1" t="s">
        <v>74</v>
      </c>
      <c r="E266" s="1" t="s">
        <v>71</v>
      </c>
      <c r="H266" s="1" t="s">
        <v>1049</v>
      </c>
      <c r="J266" s="1" t="s">
        <v>1046</v>
      </c>
      <c r="K266" s="1" t="s">
        <v>57</v>
      </c>
      <c r="L266" s="1" t="s">
        <v>1030</v>
      </c>
      <c r="M266" s="1" t="s">
        <v>1050</v>
      </c>
    </row>
    <row r="267" customFormat="false" ht="15" hidden="false" customHeight="true" outlineLevel="0" collapsed="false">
      <c r="A267" s="1" t="s">
        <v>43</v>
      </c>
      <c r="B267" s="1" t="s">
        <v>1026</v>
      </c>
      <c r="C267" s="1" t="s">
        <v>1051</v>
      </c>
      <c r="D267" s="1" t="s">
        <v>74</v>
      </c>
      <c r="E267" s="1" t="s">
        <v>71</v>
      </c>
      <c r="H267" s="1" t="s">
        <v>1052</v>
      </c>
      <c r="J267" s="1" t="s">
        <v>1046</v>
      </c>
      <c r="K267" s="1" t="s">
        <v>57</v>
      </c>
      <c r="L267" s="1" t="s">
        <v>1030</v>
      </c>
      <c r="M267" s="1" t="s">
        <v>1053</v>
      </c>
    </row>
    <row r="268" customFormat="false" ht="15" hidden="false" customHeight="true" outlineLevel="0" collapsed="false">
      <c r="A268" s="1" t="s">
        <v>43</v>
      </c>
      <c r="B268" s="1" t="s">
        <v>1026</v>
      </c>
      <c r="C268" s="1" t="s">
        <v>1054</v>
      </c>
      <c r="D268" s="1" t="s">
        <v>74</v>
      </c>
      <c r="E268" s="1" t="s">
        <v>71</v>
      </c>
      <c r="H268" s="1" t="s">
        <v>1055</v>
      </c>
      <c r="J268" s="1" t="s">
        <v>1046</v>
      </c>
      <c r="K268" s="1" t="s">
        <v>57</v>
      </c>
      <c r="L268" s="1" t="s">
        <v>1030</v>
      </c>
      <c r="M268" s="1" t="s">
        <v>1056</v>
      </c>
    </row>
    <row r="269" customFormat="false" ht="15" hidden="false" customHeight="true" outlineLevel="0" collapsed="false">
      <c r="A269" s="1" t="s">
        <v>43</v>
      </c>
      <c r="B269" s="1" t="s">
        <v>1026</v>
      </c>
      <c r="C269" s="1" t="s">
        <v>1057</v>
      </c>
      <c r="D269" s="1" t="s">
        <v>74</v>
      </c>
      <c r="E269" s="1" t="s">
        <v>71</v>
      </c>
      <c r="J269" s="1" t="s">
        <v>1046</v>
      </c>
      <c r="K269" s="1" t="s">
        <v>112</v>
      </c>
      <c r="L269" s="1" t="s">
        <v>1058</v>
      </c>
      <c r="M269" s="1" t="s">
        <v>1059</v>
      </c>
    </row>
    <row r="270" customFormat="false" ht="15" hidden="false" customHeight="true" outlineLevel="0" collapsed="false">
      <c r="A270" s="1" t="s">
        <v>43</v>
      </c>
      <c r="B270" s="1" t="s">
        <v>476</v>
      </c>
      <c r="C270" s="1" t="s">
        <v>1060</v>
      </c>
      <c r="D270" s="1" t="s">
        <v>46</v>
      </c>
      <c r="E270" s="1" t="s">
        <v>71</v>
      </c>
      <c r="J270" s="1" t="s">
        <v>479</v>
      </c>
      <c r="K270" s="1" t="s">
        <v>112</v>
      </c>
      <c r="L270" s="1" t="s">
        <v>1061</v>
      </c>
      <c r="M270" s="1" t="s">
        <v>1062</v>
      </c>
    </row>
    <row r="271" customFormat="false" ht="15" hidden="false" customHeight="true" outlineLevel="0" collapsed="false">
      <c r="A271" s="1" t="s">
        <v>43</v>
      </c>
      <c r="B271" s="1" t="s">
        <v>476</v>
      </c>
      <c r="C271" s="1" t="s">
        <v>1063</v>
      </c>
      <c r="D271" s="1" t="s">
        <v>46</v>
      </c>
      <c r="E271" s="1" t="s">
        <v>71</v>
      </c>
      <c r="H271" s="1" t="s">
        <v>154</v>
      </c>
      <c r="J271" s="1" t="s">
        <v>479</v>
      </c>
      <c r="K271" s="1" t="s">
        <v>57</v>
      </c>
      <c r="L271" s="1" t="s">
        <v>480</v>
      </c>
      <c r="M271" s="1" t="s">
        <v>1064</v>
      </c>
    </row>
    <row r="272" customFormat="false" ht="15" hidden="false" customHeight="true" outlineLevel="0" collapsed="false">
      <c r="A272" s="1" t="s">
        <v>43</v>
      </c>
      <c r="B272" s="1" t="s">
        <v>469</v>
      </c>
      <c r="C272" s="1" t="s">
        <v>1065</v>
      </c>
      <c r="D272" s="1" t="s">
        <v>46</v>
      </c>
      <c r="E272" s="1" t="s">
        <v>62</v>
      </c>
      <c r="H272" s="1" t="s">
        <v>1066</v>
      </c>
      <c r="J272" s="1" t="s">
        <v>470</v>
      </c>
      <c r="K272" s="1" t="s">
        <v>57</v>
      </c>
      <c r="L272" s="1" t="s">
        <v>1067</v>
      </c>
      <c r="M272" s="1" t="s">
        <v>1068</v>
      </c>
    </row>
    <row r="273" customFormat="false" ht="15" hidden="false" customHeight="true" outlineLevel="0" collapsed="false">
      <c r="A273" s="1" t="s">
        <v>43</v>
      </c>
      <c r="B273" s="1" t="s">
        <v>469</v>
      </c>
      <c r="C273" s="1" t="s">
        <v>1069</v>
      </c>
      <c r="D273" s="1" t="s">
        <v>46</v>
      </c>
      <c r="E273" s="1" t="s">
        <v>62</v>
      </c>
      <c r="H273" s="1" t="s">
        <v>1070</v>
      </c>
      <c r="J273" s="1" t="s">
        <v>470</v>
      </c>
      <c r="K273" s="1" t="s">
        <v>57</v>
      </c>
      <c r="L273" s="1" t="s">
        <v>1067</v>
      </c>
      <c r="M273" s="1" t="s">
        <v>1071</v>
      </c>
    </row>
    <row r="274" customFormat="false" ht="15" hidden="false" customHeight="true" outlineLevel="0" collapsed="false">
      <c r="A274" s="1" t="s">
        <v>43</v>
      </c>
      <c r="B274" s="1" t="s">
        <v>469</v>
      </c>
      <c r="C274" s="1" t="s">
        <v>1072</v>
      </c>
      <c r="D274" s="1" t="s">
        <v>46</v>
      </c>
      <c r="E274" s="1" t="s">
        <v>62</v>
      </c>
      <c r="H274" s="1" t="s">
        <v>1073</v>
      </c>
      <c r="J274" s="1" t="s">
        <v>470</v>
      </c>
      <c r="K274" s="1" t="s">
        <v>57</v>
      </c>
      <c r="L274" s="1" t="s">
        <v>1067</v>
      </c>
      <c r="M274" s="1" t="s">
        <v>1074</v>
      </c>
    </row>
    <row r="275" customFormat="false" ht="15" hidden="false" customHeight="true" outlineLevel="0" collapsed="false">
      <c r="A275" s="1" t="s">
        <v>43</v>
      </c>
      <c r="B275" s="1" t="s">
        <v>469</v>
      </c>
      <c r="C275" s="1" t="s">
        <v>1075</v>
      </c>
      <c r="D275" s="1" t="s">
        <v>46</v>
      </c>
      <c r="E275" s="1" t="s">
        <v>62</v>
      </c>
      <c r="H275" s="1" t="s">
        <v>1076</v>
      </c>
      <c r="J275" s="1" t="s">
        <v>470</v>
      </c>
      <c r="K275" s="1" t="s">
        <v>57</v>
      </c>
      <c r="L275" s="1" t="s">
        <v>1067</v>
      </c>
      <c r="M275" s="1" t="s">
        <v>1077</v>
      </c>
    </row>
    <row r="276" customFormat="false" ht="15" hidden="false" customHeight="true" outlineLevel="0" collapsed="false">
      <c r="A276" s="1" t="s">
        <v>43</v>
      </c>
      <c r="B276" s="1" t="s">
        <v>390</v>
      </c>
      <c r="C276" s="1" t="s">
        <v>1078</v>
      </c>
      <c r="D276" s="1" t="s">
        <v>46</v>
      </c>
      <c r="E276" s="1" t="s">
        <v>62</v>
      </c>
      <c r="H276" s="1" t="s">
        <v>1079</v>
      </c>
      <c r="J276" s="1" t="s">
        <v>393</v>
      </c>
      <c r="K276" s="1" t="s">
        <v>57</v>
      </c>
      <c r="L276" s="1" t="s">
        <v>395</v>
      </c>
      <c r="M276" s="1" t="s">
        <v>1080</v>
      </c>
    </row>
    <row r="277" customFormat="false" ht="15" hidden="false" customHeight="true" outlineLevel="0" collapsed="false">
      <c r="A277" s="1" t="s">
        <v>43</v>
      </c>
      <c r="B277" s="1" t="s">
        <v>390</v>
      </c>
      <c r="C277" s="1" t="s">
        <v>1081</v>
      </c>
      <c r="D277" s="1" t="s">
        <v>46</v>
      </c>
      <c r="E277" s="1" t="s">
        <v>71</v>
      </c>
      <c r="H277" s="1" t="s">
        <v>1082</v>
      </c>
      <c r="J277" s="1" t="s">
        <v>393</v>
      </c>
      <c r="K277" s="1" t="s">
        <v>57</v>
      </c>
      <c r="L277" s="1" t="s">
        <v>395</v>
      </c>
      <c r="M277" s="1" t="s">
        <v>1083</v>
      </c>
    </row>
    <row r="278" customFormat="false" ht="15" hidden="false" customHeight="true" outlineLevel="0" collapsed="false">
      <c r="A278" s="1" t="s">
        <v>43</v>
      </c>
      <c r="B278" s="1" t="s">
        <v>251</v>
      </c>
      <c r="C278" s="1" t="s">
        <v>1084</v>
      </c>
      <c r="D278" s="1" t="s">
        <v>46</v>
      </c>
      <c r="E278" s="1" t="s">
        <v>62</v>
      </c>
      <c r="H278" s="1" t="s">
        <v>1085</v>
      </c>
      <c r="J278" s="1" t="s">
        <v>254</v>
      </c>
      <c r="K278" s="1" t="s">
        <v>57</v>
      </c>
      <c r="L278" s="1" t="s">
        <v>255</v>
      </c>
      <c r="M278" s="1" t="s">
        <v>1086</v>
      </c>
    </row>
    <row r="279" customFormat="false" ht="15" hidden="false" customHeight="true" outlineLevel="0" collapsed="false">
      <c r="A279" s="1" t="s">
        <v>43</v>
      </c>
      <c r="B279" s="1" t="s">
        <v>251</v>
      </c>
      <c r="C279" s="1" t="s">
        <v>1087</v>
      </c>
      <c r="D279" s="1" t="s">
        <v>46</v>
      </c>
      <c r="E279" s="1" t="s">
        <v>71</v>
      </c>
      <c r="H279" s="1" t="s">
        <v>1088</v>
      </c>
      <c r="J279" s="1" t="s">
        <v>254</v>
      </c>
      <c r="K279" s="1" t="s">
        <v>57</v>
      </c>
      <c r="L279" s="1" t="s">
        <v>255</v>
      </c>
      <c r="M279" s="1" t="s">
        <v>1089</v>
      </c>
    </row>
    <row r="280" customFormat="false" ht="15" hidden="false" customHeight="true" outlineLevel="0" collapsed="false">
      <c r="A280" s="1" t="s">
        <v>43</v>
      </c>
      <c r="B280" s="1" t="s">
        <v>251</v>
      </c>
      <c r="C280" s="1" t="s">
        <v>1090</v>
      </c>
      <c r="D280" s="1" t="s">
        <v>46</v>
      </c>
      <c r="E280" s="1" t="s">
        <v>62</v>
      </c>
      <c r="H280" s="1" t="s">
        <v>1091</v>
      </c>
      <c r="J280" s="1" t="s">
        <v>254</v>
      </c>
      <c r="K280" s="1" t="s">
        <v>57</v>
      </c>
      <c r="L280" s="1" t="s">
        <v>255</v>
      </c>
      <c r="M280" s="1" t="s">
        <v>1092</v>
      </c>
    </row>
    <row r="281" customFormat="false" ht="15" hidden="false" customHeight="true" outlineLevel="0" collapsed="false">
      <c r="A281" s="1" t="s">
        <v>43</v>
      </c>
      <c r="B281" s="1" t="s">
        <v>251</v>
      </c>
      <c r="C281" s="1" t="s">
        <v>1093</v>
      </c>
      <c r="D281" s="1" t="s">
        <v>46</v>
      </c>
      <c r="E281" s="1" t="s">
        <v>71</v>
      </c>
      <c r="H281" s="1" t="s">
        <v>1094</v>
      </c>
      <c r="J281" s="1" t="s">
        <v>254</v>
      </c>
      <c r="K281" s="1" t="s">
        <v>57</v>
      </c>
      <c r="L281" s="1" t="s">
        <v>255</v>
      </c>
      <c r="M281" s="1" t="s">
        <v>1095</v>
      </c>
    </row>
    <row r="282" customFormat="false" ht="15" hidden="false" customHeight="true" outlineLevel="0" collapsed="false">
      <c r="A282" s="1" t="s">
        <v>43</v>
      </c>
      <c r="B282" s="1" t="s">
        <v>251</v>
      </c>
      <c r="C282" s="1" t="s">
        <v>1096</v>
      </c>
      <c r="D282" s="1" t="s">
        <v>74</v>
      </c>
      <c r="E282" s="1" t="s">
        <v>62</v>
      </c>
      <c r="H282" s="1" t="s">
        <v>1097</v>
      </c>
      <c r="J282" s="1" t="s">
        <v>1098</v>
      </c>
      <c r="K282" s="1" t="s">
        <v>57</v>
      </c>
      <c r="L282" s="1" t="s">
        <v>255</v>
      </c>
      <c r="M282" s="1" t="s">
        <v>1099</v>
      </c>
    </row>
    <row r="283" customFormat="false" ht="15" hidden="false" customHeight="true" outlineLevel="0" collapsed="false">
      <c r="A283" s="1" t="s">
        <v>43</v>
      </c>
      <c r="B283" s="1" t="s">
        <v>251</v>
      </c>
      <c r="C283" s="1" t="s">
        <v>1100</v>
      </c>
      <c r="D283" s="1" t="s">
        <v>74</v>
      </c>
      <c r="E283" s="1" t="s">
        <v>62</v>
      </c>
      <c r="H283" s="1" t="s">
        <v>1101</v>
      </c>
      <c r="J283" s="1" t="s">
        <v>1098</v>
      </c>
      <c r="K283" s="1" t="s">
        <v>57</v>
      </c>
      <c r="L283" s="1" t="s">
        <v>255</v>
      </c>
      <c r="M283" s="1" t="s">
        <v>1102</v>
      </c>
    </row>
    <row r="284" customFormat="false" ht="15" hidden="false" customHeight="true" outlineLevel="0" collapsed="false">
      <c r="A284" s="1" t="s">
        <v>43</v>
      </c>
      <c r="B284" s="1" t="s">
        <v>251</v>
      </c>
      <c r="C284" s="1" t="s">
        <v>1103</v>
      </c>
      <c r="D284" s="1" t="s">
        <v>74</v>
      </c>
      <c r="E284" s="1" t="s">
        <v>71</v>
      </c>
      <c r="H284" s="1" t="s">
        <v>1104</v>
      </c>
      <c r="J284" s="1" t="s">
        <v>1098</v>
      </c>
      <c r="K284" s="1" t="s">
        <v>57</v>
      </c>
      <c r="L284" s="1" t="s">
        <v>255</v>
      </c>
      <c r="M284" s="1" t="s">
        <v>1105</v>
      </c>
    </row>
    <row r="285" customFormat="false" ht="15" hidden="false" customHeight="true" outlineLevel="0" collapsed="false">
      <c r="A285" s="1" t="s">
        <v>43</v>
      </c>
      <c r="B285" s="1" t="s">
        <v>251</v>
      </c>
      <c r="C285" s="1" t="s">
        <v>1106</v>
      </c>
      <c r="D285" s="1" t="s">
        <v>74</v>
      </c>
      <c r="E285" s="1" t="s">
        <v>62</v>
      </c>
      <c r="H285" s="1" t="s">
        <v>1107</v>
      </c>
      <c r="J285" s="1" t="s">
        <v>1098</v>
      </c>
      <c r="K285" s="1" t="s">
        <v>57</v>
      </c>
      <c r="L285" s="1" t="s">
        <v>255</v>
      </c>
      <c r="M285" s="1" t="s">
        <v>1108</v>
      </c>
    </row>
    <row r="286" customFormat="false" ht="15" hidden="false" customHeight="true" outlineLevel="0" collapsed="false">
      <c r="A286" s="1" t="s">
        <v>43</v>
      </c>
      <c r="B286" s="1" t="s">
        <v>251</v>
      </c>
      <c r="C286" s="1" t="s">
        <v>1109</v>
      </c>
      <c r="D286" s="1" t="s">
        <v>74</v>
      </c>
      <c r="E286" s="1" t="s">
        <v>71</v>
      </c>
      <c r="H286" s="1" t="s">
        <v>1110</v>
      </c>
      <c r="J286" s="1" t="s">
        <v>1098</v>
      </c>
      <c r="K286" s="1" t="s">
        <v>57</v>
      </c>
      <c r="L286" s="1" t="s">
        <v>255</v>
      </c>
      <c r="M286" s="1" t="s">
        <v>1111</v>
      </c>
    </row>
    <row r="287" customFormat="false" ht="15" hidden="false" customHeight="true" outlineLevel="0" collapsed="false">
      <c r="A287" s="1" t="s">
        <v>43</v>
      </c>
      <c r="B287" s="1" t="s">
        <v>251</v>
      </c>
      <c r="C287" s="1" t="s">
        <v>1112</v>
      </c>
      <c r="D287" s="1" t="s">
        <v>74</v>
      </c>
      <c r="E287" s="1" t="s">
        <v>201</v>
      </c>
      <c r="J287" s="1" t="s">
        <v>1098</v>
      </c>
      <c r="K287" s="1" t="s">
        <v>112</v>
      </c>
      <c r="L287" s="1" t="s">
        <v>1113</v>
      </c>
      <c r="M287" s="1" t="s">
        <v>1114</v>
      </c>
    </row>
    <row r="288" customFormat="false" ht="15" hidden="false" customHeight="true" outlineLevel="0" collapsed="false">
      <c r="A288" s="1" t="s">
        <v>43</v>
      </c>
      <c r="B288" s="1" t="s">
        <v>1115</v>
      </c>
      <c r="C288" s="1" t="s">
        <v>1116</v>
      </c>
      <c r="D288" s="1" t="s">
        <v>46</v>
      </c>
      <c r="E288" s="1" t="s">
        <v>71</v>
      </c>
      <c r="H288" s="1" t="s">
        <v>1117</v>
      </c>
      <c r="J288" s="1" t="s">
        <v>1118</v>
      </c>
      <c r="K288" s="1" t="s">
        <v>57</v>
      </c>
      <c r="L288" s="1" t="s">
        <v>1119</v>
      </c>
      <c r="M288" s="1" t="s">
        <v>1120</v>
      </c>
    </row>
    <row r="289" customFormat="false" ht="15" hidden="false" customHeight="true" outlineLevel="0" collapsed="false">
      <c r="A289" s="1" t="s">
        <v>43</v>
      </c>
      <c r="B289" s="1" t="s">
        <v>1121</v>
      </c>
      <c r="C289" s="1" t="s">
        <v>1122</v>
      </c>
      <c r="D289" s="1" t="s">
        <v>46</v>
      </c>
      <c r="E289" s="1" t="s">
        <v>71</v>
      </c>
      <c r="H289" s="1" t="s">
        <v>1123</v>
      </c>
      <c r="J289" s="1" t="s">
        <v>1124</v>
      </c>
      <c r="K289" s="1" t="s">
        <v>57</v>
      </c>
      <c r="L289" s="1" t="s">
        <v>1125</v>
      </c>
      <c r="M289" s="1" t="s">
        <v>1126</v>
      </c>
    </row>
    <row r="290" customFormat="false" ht="15" hidden="false" customHeight="true" outlineLevel="0" collapsed="false">
      <c r="A290" s="1" t="s">
        <v>43</v>
      </c>
      <c r="B290" s="1" t="s">
        <v>301</v>
      </c>
      <c r="C290" s="1" t="s">
        <v>1127</v>
      </c>
      <c r="D290" s="1" t="s">
        <v>46</v>
      </c>
      <c r="E290" s="1" t="s">
        <v>71</v>
      </c>
      <c r="H290" s="1" t="s">
        <v>1128</v>
      </c>
      <c r="J290" s="1" t="s">
        <v>303</v>
      </c>
      <c r="K290" s="1" t="s">
        <v>57</v>
      </c>
      <c r="L290" s="1" t="s">
        <v>1129</v>
      </c>
      <c r="M290" s="1" t="s">
        <v>1130</v>
      </c>
    </row>
    <row r="291" customFormat="false" ht="15" hidden="false" customHeight="true" outlineLevel="0" collapsed="false">
      <c r="A291" s="1" t="s">
        <v>43</v>
      </c>
      <c r="B291" s="1" t="s">
        <v>440</v>
      </c>
      <c r="C291" s="1" t="s">
        <v>1131</v>
      </c>
      <c r="D291" s="1" t="s">
        <v>46</v>
      </c>
      <c r="E291" s="1" t="s">
        <v>71</v>
      </c>
      <c r="H291" s="1" t="s">
        <v>1132</v>
      </c>
      <c r="J291" s="1" t="s">
        <v>443</v>
      </c>
      <c r="K291" s="1" t="s">
        <v>57</v>
      </c>
      <c r="L291" s="1" t="s">
        <v>444</v>
      </c>
      <c r="M291" s="1" t="s">
        <v>1133</v>
      </c>
    </row>
    <row r="292" customFormat="false" ht="15" hidden="false" customHeight="true" outlineLevel="0" collapsed="false">
      <c r="A292" s="1" t="s">
        <v>43</v>
      </c>
      <c r="B292" s="1" t="s">
        <v>440</v>
      </c>
      <c r="C292" s="1" t="s">
        <v>1134</v>
      </c>
      <c r="D292" s="1" t="s">
        <v>46</v>
      </c>
      <c r="E292" s="1" t="s">
        <v>62</v>
      </c>
      <c r="H292" s="1" t="s">
        <v>1135</v>
      </c>
      <c r="J292" s="1" t="s">
        <v>443</v>
      </c>
      <c r="K292" s="1" t="s">
        <v>57</v>
      </c>
      <c r="L292" s="1" t="s">
        <v>444</v>
      </c>
      <c r="M292" s="1" t="s">
        <v>1136</v>
      </c>
    </row>
    <row r="293" customFormat="false" ht="15" hidden="false" customHeight="true" outlineLevel="0" collapsed="false">
      <c r="A293" s="1" t="s">
        <v>43</v>
      </c>
      <c r="B293" s="1" t="s">
        <v>440</v>
      </c>
      <c r="C293" s="1" t="s">
        <v>1137</v>
      </c>
      <c r="D293" s="1" t="s">
        <v>46</v>
      </c>
      <c r="E293" s="1" t="s">
        <v>62</v>
      </c>
      <c r="H293" s="1" t="s">
        <v>1138</v>
      </c>
      <c r="J293" s="1" t="s">
        <v>443</v>
      </c>
      <c r="K293" s="1" t="s">
        <v>57</v>
      </c>
      <c r="L293" s="1" t="s">
        <v>444</v>
      </c>
      <c r="M293" s="1" t="s">
        <v>1139</v>
      </c>
    </row>
    <row r="294" customFormat="false" ht="15" hidden="false" customHeight="true" outlineLevel="0" collapsed="false">
      <c r="A294" s="1" t="s">
        <v>43</v>
      </c>
      <c r="B294" s="1" t="s">
        <v>440</v>
      </c>
      <c r="C294" s="1" t="s">
        <v>1140</v>
      </c>
      <c r="D294" s="1" t="s">
        <v>46</v>
      </c>
      <c r="E294" s="1" t="s">
        <v>62</v>
      </c>
      <c r="H294" s="1" t="s">
        <v>1141</v>
      </c>
      <c r="J294" s="1" t="s">
        <v>443</v>
      </c>
      <c r="K294" s="1" t="s">
        <v>57</v>
      </c>
      <c r="L294" s="1" t="s">
        <v>444</v>
      </c>
      <c r="M294" s="1" t="s">
        <v>1142</v>
      </c>
    </row>
    <row r="295" customFormat="false" ht="15" hidden="false" customHeight="true" outlineLevel="0" collapsed="false">
      <c r="A295" s="1" t="s">
        <v>43</v>
      </c>
      <c r="B295" s="1" t="s">
        <v>638</v>
      </c>
      <c r="C295" s="1" t="s">
        <v>1143</v>
      </c>
      <c r="D295" s="1" t="s">
        <v>46</v>
      </c>
      <c r="E295" s="1" t="s">
        <v>47</v>
      </c>
      <c r="H295" s="1" t="s">
        <v>1144</v>
      </c>
      <c r="J295" s="1" t="s">
        <v>641</v>
      </c>
      <c r="K295" s="1" t="s">
        <v>57</v>
      </c>
      <c r="L295" s="1" t="s">
        <v>642</v>
      </c>
      <c r="M295" s="1" t="s">
        <v>1145</v>
      </c>
    </row>
    <row r="296" customFormat="false" ht="15" hidden="false" customHeight="true" outlineLevel="0" collapsed="false">
      <c r="A296" s="1" t="s">
        <v>43</v>
      </c>
      <c r="B296" s="1" t="s">
        <v>638</v>
      </c>
      <c r="C296" s="1" t="s">
        <v>1146</v>
      </c>
      <c r="D296" s="1" t="s">
        <v>46</v>
      </c>
      <c r="E296" s="1" t="s">
        <v>71</v>
      </c>
      <c r="H296" s="1" t="s">
        <v>1147</v>
      </c>
      <c r="J296" s="1" t="s">
        <v>641</v>
      </c>
      <c r="K296" s="1" t="s">
        <v>57</v>
      </c>
      <c r="L296" s="1" t="s">
        <v>642</v>
      </c>
      <c r="M296" s="1" t="s">
        <v>1148</v>
      </c>
    </row>
    <row r="297" customFormat="false" ht="15" hidden="false" customHeight="true" outlineLevel="0" collapsed="false">
      <c r="A297" s="1" t="s">
        <v>43</v>
      </c>
      <c r="B297" s="1" t="s">
        <v>638</v>
      </c>
      <c r="C297" s="1" t="s">
        <v>1149</v>
      </c>
      <c r="D297" s="1" t="s">
        <v>46</v>
      </c>
      <c r="E297" s="1" t="s">
        <v>62</v>
      </c>
      <c r="H297" s="1" t="s">
        <v>1150</v>
      </c>
      <c r="J297" s="1" t="s">
        <v>641</v>
      </c>
      <c r="K297" s="1" t="s">
        <v>57</v>
      </c>
      <c r="L297" s="1" t="s">
        <v>642</v>
      </c>
      <c r="M297" s="1" t="s">
        <v>1151</v>
      </c>
    </row>
    <row r="298" customFormat="false" ht="15" hidden="false" customHeight="true" outlineLevel="0" collapsed="false">
      <c r="A298" s="1" t="s">
        <v>43</v>
      </c>
      <c r="B298" s="1" t="s">
        <v>638</v>
      </c>
      <c r="C298" s="1" t="s">
        <v>1152</v>
      </c>
      <c r="D298" s="1" t="s">
        <v>74</v>
      </c>
      <c r="E298" s="1" t="s">
        <v>201</v>
      </c>
      <c r="H298" s="1" t="s">
        <v>1153</v>
      </c>
      <c r="J298" s="1" t="s">
        <v>1154</v>
      </c>
      <c r="K298" s="1" t="s">
        <v>57</v>
      </c>
      <c r="L298" s="1" t="s">
        <v>1155</v>
      </c>
      <c r="M298" s="1" t="s">
        <v>1156</v>
      </c>
    </row>
    <row r="299" customFormat="false" ht="15" hidden="false" customHeight="true" outlineLevel="0" collapsed="false">
      <c r="A299" s="1" t="s">
        <v>43</v>
      </c>
      <c r="B299" s="1" t="s">
        <v>638</v>
      </c>
      <c r="C299" s="1" t="s">
        <v>1157</v>
      </c>
      <c r="D299" s="1" t="s">
        <v>46</v>
      </c>
      <c r="E299" s="1" t="s">
        <v>201</v>
      </c>
      <c r="J299" s="1" t="s">
        <v>641</v>
      </c>
      <c r="K299" s="1" t="s">
        <v>112</v>
      </c>
      <c r="L299" s="1" t="s">
        <v>1158</v>
      </c>
      <c r="M299" s="1" t="s">
        <v>1159</v>
      </c>
    </row>
    <row r="300" customFormat="false" ht="15" hidden="false" customHeight="true" outlineLevel="0" collapsed="false">
      <c r="A300" s="1" t="s">
        <v>43</v>
      </c>
      <c r="B300" s="1" t="s">
        <v>326</v>
      </c>
      <c r="C300" s="1" t="s">
        <v>1160</v>
      </c>
      <c r="D300" s="1" t="s">
        <v>46</v>
      </c>
      <c r="E300" s="1" t="s">
        <v>71</v>
      </c>
      <c r="H300" s="1" t="s">
        <v>1161</v>
      </c>
      <c r="J300" s="1" t="s">
        <v>329</v>
      </c>
      <c r="K300" s="1" t="s">
        <v>57</v>
      </c>
      <c r="L300" s="1" t="s">
        <v>330</v>
      </c>
      <c r="M300" s="1" t="s">
        <v>1162</v>
      </c>
    </row>
    <row r="301" customFormat="false" ht="15" hidden="false" customHeight="true" outlineLevel="0" collapsed="false">
      <c r="A301" s="1" t="s">
        <v>43</v>
      </c>
      <c r="B301" s="1" t="s">
        <v>1163</v>
      </c>
      <c r="C301" s="1" t="s">
        <v>1164</v>
      </c>
      <c r="D301" s="1" t="s">
        <v>46</v>
      </c>
      <c r="E301" s="1" t="s">
        <v>62</v>
      </c>
      <c r="H301" s="1" t="s">
        <v>1165</v>
      </c>
      <c r="J301" s="1" t="s">
        <v>1166</v>
      </c>
      <c r="K301" s="1" t="s">
        <v>57</v>
      </c>
      <c r="L301" s="1" t="s">
        <v>1167</v>
      </c>
      <c r="M301" s="1" t="s">
        <v>1168</v>
      </c>
    </row>
    <row r="302" customFormat="false" ht="15" hidden="false" customHeight="true" outlineLevel="0" collapsed="false">
      <c r="A302" s="1" t="s">
        <v>43</v>
      </c>
      <c r="B302" s="1" t="s">
        <v>1163</v>
      </c>
      <c r="C302" s="1" t="s">
        <v>1169</v>
      </c>
      <c r="D302" s="1" t="s">
        <v>46</v>
      </c>
      <c r="E302" s="1" t="s">
        <v>62</v>
      </c>
      <c r="H302" s="1" t="s">
        <v>1170</v>
      </c>
      <c r="J302" s="1" t="s">
        <v>1166</v>
      </c>
      <c r="K302" s="1" t="s">
        <v>57</v>
      </c>
      <c r="L302" s="1" t="s">
        <v>1167</v>
      </c>
      <c r="M302" s="1" t="s">
        <v>1171</v>
      </c>
    </row>
    <row r="303" customFormat="false" ht="15" hidden="false" customHeight="true" outlineLevel="0" collapsed="false">
      <c r="A303" s="1" t="s">
        <v>43</v>
      </c>
      <c r="B303" s="1" t="s">
        <v>1163</v>
      </c>
      <c r="C303" s="1" t="s">
        <v>1172</v>
      </c>
      <c r="D303" s="1" t="s">
        <v>46</v>
      </c>
      <c r="E303" s="1" t="s">
        <v>71</v>
      </c>
      <c r="H303" s="1" t="s">
        <v>1173</v>
      </c>
      <c r="J303" s="1" t="s">
        <v>1166</v>
      </c>
      <c r="K303" s="1" t="s">
        <v>57</v>
      </c>
      <c r="L303" s="1" t="s">
        <v>1167</v>
      </c>
      <c r="M303" s="1" t="s">
        <v>1174</v>
      </c>
    </row>
    <row r="304" customFormat="false" ht="15" hidden="false" customHeight="true" outlineLevel="0" collapsed="false">
      <c r="A304" s="1" t="s">
        <v>43</v>
      </c>
      <c r="B304" s="1" t="s">
        <v>291</v>
      </c>
      <c r="C304" s="1" t="s">
        <v>1175</v>
      </c>
      <c r="D304" s="1" t="s">
        <v>46</v>
      </c>
      <c r="E304" s="1" t="s">
        <v>62</v>
      </c>
      <c r="H304" s="1" t="s">
        <v>296</v>
      </c>
      <c r="J304" s="1" t="s">
        <v>293</v>
      </c>
      <c r="K304" s="1" t="s">
        <v>57</v>
      </c>
      <c r="L304" s="1" t="s">
        <v>1176</v>
      </c>
      <c r="M304" s="1" t="s">
        <v>1177</v>
      </c>
    </row>
    <row r="305" customFormat="false" ht="15" hidden="false" customHeight="true" outlineLevel="0" collapsed="false">
      <c r="A305" s="1" t="s">
        <v>43</v>
      </c>
      <c r="B305" s="1" t="s">
        <v>291</v>
      </c>
      <c r="C305" s="1" t="s">
        <v>1178</v>
      </c>
      <c r="D305" s="1" t="s">
        <v>46</v>
      </c>
      <c r="E305" s="1" t="s">
        <v>71</v>
      </c>
      <c r="H305" s="1" t="s">
        <v>296</v>
      </c>
      <c r="J305" s="1" t="s">
        <v>293</v>
      </c>
      <c r="K305" s="1" t="s">
        <v>57</v>
      </c>
      <c r="L305" s="1" t="s">
        <v>1176</v>
      </c>
      <c r="M305" s="1" t="s">
        <v>1179</v>
      </c>
    </row>
    <row r="306" customFormat="false" ht="15" hidden="false" customHeight="true" outlineLevel="0" collapsed="false">
      <c r="A306" s="1" t="s">
        <v>43</v>
      </c>
      <c r="B306" s="1" t="s">
        <v>291</v>
      </c>
      <c r="C306" s="1" t="s">
        <v>1180</v>
      </c>
      <c r="D306" s="1" t="s">
        <v>74</v>
      </c>
      <c r="E306" s="1" t="s">
        <v>71</v>
      </c>
      <c r="H306" s="1" t="s">
        <v>1181</v>
      </c>
      <c r="J306" s="1" t="s">
        <v>1182</v>
      </c>
      <c r="K306" s="1" t="s">
        <v>57</v>
      </c>
      <c r="L306" s="1" t="s">
        <v>1176</v>
      </c>
      <c r="M306" s="1" t="s">
        <v>1183</v>
      </c>
    </row>
    <row r="307" customFormat="false" ht="15" hidden="false" customHeight="true" outlineLevel="0" collapsed="false">
      <c r="A307" s="1" t="s">
        <v>43</v>
      </c>
      <c r="B307" s="1" t="s">
        <v>602</v>
      </c>
      <c r="C307" s="1" t="s">
        <v>1184</v>
      </c>
      <c r="D307" s="1" t="s">
        <v>46</v>
      </c>
      <c r="E307" s="1" t="s">
        <v>62</v>
      </c>
      <c r="H307" s="1" t="s">
        <v>1185</v>
      </c>
      <c r="J307" s="1" t="s">
        <v>605</v>
      </c>
      <c r="K307" s="1" t="s">
        <v>57</v>
      </c>
      <c r="L307" s="1" t="s">
        <v>606</v>
      </c>
      <c r="M307" s="1" t="s">
        <v>1186</v>
      </c>
    </row>
    <row r="308" customFormat="false" ht="15" hidden="false" customHeight="true" outlineLevel="0" collapsed="false">
      <c r="A308" s="1" t="s">
        <v>43</v>
      </c>
      <c r="B308" s="1" t="s">
        <v>631</v>
      </c>
      <c r="C308" s="1" t="s">
        <v>1187</v>
      </c>
      <c r="D308" s="1" t="s">
        <v>46</v>
      </c>
      <c r="E308" s="1" t="s">
        <v>62</v>
      </c>
      <c r="H308" s="1" t="s">
        <v>634</v>
      </c>
      <c r="J308" s="1" t="s">
        <v>635</v>
      </c>
      <c r="K308" s="1" t="s">
        <v>57</v>
      </c>
      <c r="L308" s="1" t="s">
        <v>636</v>
      </c>
      <c r="M308" s="1" t="s">
        <v>1188</v>
      </c>
    </row>
    <row r="309" customFormat="false" ht="15" hidden="false" customHeight="true" outlineLevel="0" collapsed="false">
      <c r="A309" s="1" t="s">
        <v>43</v>
      </c>
      <c r="B309" s="1" t="s">
        <v>631</v>
      </c>
      <c r="C309" s="1" t="s">
        <v>1189</v>
      </c>
      <c r="D309" s="1" t="s">
        <v>46</v>
      </c>
      <c r="E309" s="1" t="s">
        <v>62</v>
      </c>
      <c r="H309" s="1" t="s">
        <v>634</v>
      </c>
      <c r="J309" s="1" t="s">
        <v>635</v>
      </c>
      <c r="K309" s="1" t="s">
        <v>57</v>
      </c>
      <c r="L309" s="1" t="s">
        <v>636</v>
      </c>
      <c r="M309" s="1" t="s">
        <v>1190</v>
      </c>
    </row>
    <row r="310" customFormat="false" ht="15" hidden="false" customHeight="true" outlineLevel="0" collapsed="false">
      <c r="A310" s="1" t="s">
        <v>43</v>
      </c>
      <c r="B310" s="1" t="s">
        <v>631</v>
      </c>
      <c r="C310" s="1" t="s">
        <v>1191</v>
      </c>
      <c r="D310" s="1" t="s">
        <v>46</v>
      </c>
      <c r="E310" s="1" t="s">
        <v>62</v>
      </c>
      <c r="H310" s="1" t="s">
        <v>1192</v>
      </c>
      <c r="J310" s="1" t="s">
        <v>635</v>
      </c>
      <c r="K310" s="1" t="s">
        <v>57</v>
      </c>
      <c r="L310" s="1" t="s">
        <v>636</v>
      </c>
      <c r="M310" s="1" t="s">
        <v>1193</v>
      </c>
    </row>
    <row r="311" customFormat="false" ht="15" hidden="false" customHeight="true" outlineLevel="0" collapsed="false">
      <c r="A311" s="1" t="s">
        <v>43</v>
      </c>
      <c r="B311" s="1" t="s">
        <v>631</v>
      </c>
      <c r="C311" s="1" t="s">
        <v>1194</v>
      </c>
      <c r="D311" s="1" t="s">
        <v>46</v>
      </c>
      <c r="E311" s="1" t="s">
        <v>71</v>
      </c>
      <c r="H311" s="1" t="s">
        <v>1192</v>
      </c>
      <c r="J311" s="1" t="s">
        <v>635</v>
      </c>
      <c r="K311" s="1" t="s">
        <v>57</v>
      </c>
      <c r="L311" s="1" t="s">
        <v>636</v>
      </c>
      <c r="M311" s="1" t="s">
        <v>1195</v>
      </c>
    </row>
    <row r="312" customFormat="false" ht="15" hidden="false" customHeight="true" outlineLevel="0" collapsed="false">
      <c r="A312" s="1" t="s">
        <v>43</v>
      </c>
      <c r="B312" s="1" t="s">
        <v>509</v>
      </c>
      <c r="C312" s="1" t="s">
        <v>1196</v>
      </c>
      <c r="D312" s="1" t="s">
        <v>46</v>
      </c>
      <c r="E312" s="1" t="s">
        <v>71</v>
      </c>
      <c r="H312" s="1" t="s">
        <v>524</v>
      </c>
      <c r="J312" s="1" t="s">
        <v>512</v>
      </c>
      <c r="K312" s="1" t="s">
        <v>517</v>
      </c>
      <c r="L312" s="1" t="s">
        <v>1197</v>
      </c>
      <c r="M312" s="1" t="s">
        <v>1198</v>
      </c>
    </row>
    <row r="313" customFormat="false" ht="15" hidden="false" customHeight="true" outlineLevel="0" collapsed="false">
      <c r="A313" s="1" t="s">
        <v>43</v>
      </c>
      <c r="B313" s="1" t="s">
        <v>509</v>
      </c>
      <c r="C313" s="1" t="s">
        <v>1199</v>
      </c>
      <c r="D313" s="1" t="s">
        <v>46</v>
      </c>
      <c r="E313" s="1" t="s">
        <v>71</v>
      </c>
      <c r="J313" s="1" t="s">
        <v>512</v>
      </c>
      <c r="K313" s="1" t="s">
        <v>112</v>
      </c>
      <c r="L313" s="1" t="s">
        <v>1197</v>
      </c>
      <c r="M313" s="1" t="s">
        <v>1200</v>
      </c>
    </row>
    <row r="314" customFormat="false" ht="15" hidden="false" customHeight="true" outlineLevel="0" collapsed="false">
      <c r="A314" s="1" t="s">
        <v>43</v>
      </c>
      <c r="B314" s="1" t="s">
        <v>509</v>
      </c>
      <c r="C314" s="1" t="s">
        <v>1201</v>
      </c>
      <c r="D314" s="1" t="s">
        <v>46</v>
      </c>
      <c r="E314" s="1" t="s">
        <v>62</v>
      </c>
      <c r="H314" s="1" t="s">
        <v>524</v>
      </c>
      <c r="J314" s="1" t="s">
        <v>512</v>
      </c>
      <c r="K314" s="1" t="s">
        <v>517</v>
      </c>
      <c r="L314" s="1" t="s">
        <v>1197</v>
      </c>
      <c r="M314" s="1" t="s">
        <v>1202</v>
      </c>
    </row>
    <row r="315" customFormat="false" ht="15" hidden="false" customHeight="true" outlineLevel="0" collapsed="false">
      <c r="A315" s="1" t="s">
        <v>43</v>
      </c>
      <c r="B315" s="1" t="s">
        <v>509</v>
      </c>
      <c r="C315" s="1" t="s">
        <v>1203</v>
      </c>
      <c r="D315" s="1" t="s">
        <v>46</v>
      </c>
      <c r="E315" s="1" t="s">
        <v>62</v>
      </c>
      <c r="J315" s="1" t="s">
        <v>512</v>
      </c>
      <c r="K315" s="1" t="s">
        <v>112</v>
      </c>
      <c r="L315" s="1" t="s">
        <v>1197</v>
      </c>
      <c r="M315" s="1" t="s">
        <v>1204</v>
      </c>
    </row>
    <row r="316" customFormat="false" ht="15" hidden="false" customHeight="true" outlineLevel="0" collapsed="false">
      <c r="A316" s="1" t="s">
        <v>43</v>
      </c>
      <c r="B316" s="1" t="s">
        <v>658</v>
      </c>
      <c r="C316" s="1" t="s">
        <v>1205</v>
      </c>
      <c r="D316" s="1" t="s">
        <v>46</v>
      </c>
      <c r="E316" s="1" t="s">
        <v>62</v>
      </c>
      <c r="H316" s="1" t="s">
        <v>296</v>
      </c>
      <c r="J316" s="1" t="s">
        <v>660</v>
      </c>
      <c r="K316" s="1" t="s">
        <v>57</v>
      </c>
      <c r="L316" s="1" t="s">
        <v>1206</v>
      </c>
      <c r="M316" s="1" t="s">
        <v>1207</v>
      </c>
    </row>
    <row r="317" customFormat="false" ht="15" hidden="false" customHeight="true" outlineLevel="0" collapsed="false">
      <c r="A317" s="1" t="s">
        <v>43</v>
      </c>
      <c r="B317" s="1" t="s">
        <v>44</v>
      </c>
      <c r="C317" s="1" t="s">
        <v>1208</v>
      </c>
      <c r="D317" s="1" t="s">
        <v>46</v>
      </c>
      <c r="E317" s="1" t="s">
        <v>71</v>
      </c>
      <c r="H317" s="1" t="s">
        <v>1209</v>
      </c>
      <c r="J317" s="1" t="s">
        <v>49</v>
      </c>
      <c r="K317" s="1" t="s">
        <v>57</v>
      </c>
      <c r="L317" s="1" t="s">
        <v>1210</v>
      </c>
      <c r="M317" s="1" t="s">
        <v>1211</v>
      </c>
    </row>
    <row r="318" customFormat="false" ht="15" hidden="false" customHeight="true" outlineLevel="0" collapsed="false">
      <c r="A318" s="1" t="s">
        <v>43</v>
      </c>
      <c r="B318" s="1" t="s">
        <v>117</v>
      </c>
      <c r="C318" s="1" t="s">
        <v>1212</v>
      </c>
      <c r="D318" s="1" t="s">
        <v>46</v>
      </c>
      <c r="E318" s="1" t="s">
        <v>62</v>
      </c>
      <c r="H318" s="1" t="s">
        <v>1213</v>
      </c>
      <c r="J318" s="1" t="s">
        <v>120</v>
      </c>
      <c r="K318" s="1" t="s">
        <v>57</v>
      </c>
      <c r="L318" s="1" t="s">
        <v>121</v>
      </c>
      <c r="M318" s="1" t="s">
        <v>1214</v>
      </c>
    </row>
    <row r="319" customFormat="false" ht="15" hidden="false" customHeight="true" outlineLevel="0" collapsed="false">
      <c r="A319" s="1" t="s">
        <v>43</v>
      </c>
      <c r="B319" s="1" t="s">
        <v>123</v>
      </c>
      <c r="C319" s="1" t="s">
        <v>1215</v>
      </c>
      <c r="D319" s="1" t="s">
        <v>46</v>
      </c>
      <c r="E319" s="1" t="s">
        <v>71</v>
      </c>
      <c r="H319" s="1" t="s">
        <v>1216</v>
      </c>
      <c r="J319" s="1" t="s">
        <v>126</v>
      </c>
      <c r="K319" s="1" t="s">
        <v>57</v>
      </c>
      <c r="L319" s="1" t="s">
        <v>1217</v>
      </c>
      <c r="M319" s="1" t="s">
        <v>1218</v>
      </c>
    </row>
    <row r="320" customFormat="false" ht="15" hidden="false" customHeight="true" outlineLevel="0" collapsed="false">
      <c r="A320" s="1" t="s">
        <v>43</v>
      </c>
      <c r="B320" s="1" t="s">
        <v>123</v>
      </c>
      <c r="C320" s="1" t="s">
        <v>1219</v>
      </c>
      <c r="D320" s="1" t="s">
        <v>74</v>
      </c>
      <c r="E320" s="1" t="s">
        <v>62</v>
      </c>
      <c r="H320" s="1" t="s">
        <v>1220</v>
      </c>
      <c r="J320" s="1" t="s">
        <v>136</v>
      </c>
      <c r="K320" s="1" t="s">
        <v>57</v>
      </c>
      <c r="L320" s="1" t="s">
        <v>137</v>
      </c>
      <c r="M320" s="1" t="s">
        <v>1221</v>
      </c>
    </row>
    <row r="321" customFormat="false" ht="15" hidden="false" customHeight="true" outlineLevel="0" collapsed="false">
      <c r="A321" s="1" t="s">
        <v>43</v>
      </c>
      <c r="B321" s="1" t="s">
        <v>123</v>
      </c>
      <c r="C321" s="1" t="s">
        <v>1222</v>
      </c>
      <c r="D321" s="1" t="s">
        <v>74</v>
      </c>
      <c r="E321" s="1" t="s">
        <v>62</v>
      </c>
      <c r="H321" s="1" t="s">
        <v>1223</v>
      </c>
      <c r="J321" s="1" t="s">
        <v>136</v>
      </c>
      <c r="K321" s="1" t="s">
        <v>57</v>
      </c>
      <c r="L321" s="1" t="s">
        <v>1224</v>
      </c>
      <c r="M321" s="1" t="s">
        <v>1225</v>
      </c>
    </row>
    <row r="322" customFormat="false" ht="15" hidden="false" customHeight="true" outlineLevel="0" collapsed="false">
      <c r="A322" s="1" t="s">
        <v>43</v>
      </c>
      <c r="B322" s="1" t="s">
        <v>146</v>
      </c>
      <c r="C322" s="1" t="s">
        <v>1226</v>
      </c>
      <c r="D322" s="1" t="s">
        <v>46</v>
      </c>
      <c r="E322" s="1" t="s">
        <v>62</v>
      </c>
      <c r="H322" s="1" t="s">
        <v>1227</v>
      </c>
      <c r="J322" s="1" t="s">
        <v>149</v>
      </c>
      <c r="K322" s="1" t="s">
        <v>57</v>
      </c>
      <c r="L322" s="1" t="s">
        <v>1228</v>
      </c>
      <c r="M322" s="1" t="s">
        <v>1229</v>
      </c>
    </row>
    <row r="323" customFormat="false" ht="15" hidden="false" customHeight="true" outlineLevel="0" collapsed="false">
      <c r="A323" s="1" t="s">
        <v>43</v>
      </c>
      <c r="B323" s="1" t="s">
        <v>146</v>
      </c>
      <c r="C323" s="1" t="s">
        <v>1230</v>
      </c>
      <c r="D323" s="1" t="s">
        <v>46</v>
      </c>
      <c r="E323" s="1" t="s">
        <v>62</v>
      </c>
      <c r="H323" s="1" t="s">
        <v>1231</v>
      </c>
      <c r="J323" s="1" t="s">
        <v>149</v>
      </c>
      <c r="K323" s="1" t="s">
        <v>57</v>
      </c>
      <c r="L323" s="1" t="s">
        <v>1228</v>
      </c>
      <c r="M323" s="1" t="s">
        <v>1232</v>
      </c>
    </row>
    <row r="324" customFormat="false" ht="15" hidden="false" customHeight="true" outlineLevel="0" collapsed="false">
      <c r="A324" s="1" t="s">
        <v>43</v>
      </c>
      <c r="B324" s="1" t="s">
        <v>146</v>
      </c>
      <c r="C324" s="1" t="s">
        <v>1233</v>
      </c>
      <c r="D324" s="1" t="s">
        <v>46</v>
      </c>
      <c r="E324" s="1" t="s">
        <v>62</v>
      </c>
      <c r="H324" s="1" t="s">
        <v>1234</v>
      </c>
      <c r="J324" s="1" t="s">
        <v>149</v>
      </c>
      <c r="K324" s="1" t="s">
        <v>57</v>
      </c>
      <c r="L324" s="1" t="s">
        <v>1228</v>
      </c>
      <c r="M324" s="1" t="s">
        <v>1235</v>
      </c>
    </row>
    <row r="325" customFormat="false" ht="15" hidden="false" customHeight="true" outlineLevel="0" collapsed="false">
      <c r="A325" s="1" t="s">
        <v>43</v>
      </c>
      <c r="B325" s="1" t="s">
        <v>146</v>
      </c>
      <c r="C325" s="1" t="s">
        <v>1236</v>
      </c>
      <c r="D325" s="1" t="s">
        <v>46</v>
      </c>
      <c r="E325" s="1" t="s">
        <v>62</v>
      </c>
      <c r="H325" s="1" t="s">
        <v>1237</v>
      </c>
      <c r="J325" s="1" t="s">
        <v>149</v>
      </c>
      <c r="K325" s="1" t="s">
        <v>57</v>
      </c>
      <c r="L325" s="1" t="s">
        <v>1228</v>
      </c>
      <c r="M325" s="1" t="s">
        <v>1238</v>
      </c>
    </row>
    <row r="326" customFormat="false" ht="15" hidden="false" customHeight="true" outlineLevel="0" collapsed="false">
      <c r="A326" s="1" t="s">
        <v>43</v>
      </c>
      <c r="B326" s="1" t="s">
        <v>146</v>
      </c>
      <c r="C326" s="1" t="s">
        <v>1239</v>
      </c>
      <c r="D326" s="1" t="s">
        <v>46</v>
      </c>
      <c r="E326" s="1" t="s">
        <v>62</v>
      </c>
      <c r="H326" s="1" t="s">
        <v>1240</v>
      </c>
      <c r="J326" s="1" t="s">
        <v>149</v>
      </c>
      <c r="K326" s="1" t="s">
        <v>57</v>
      </c>
      <c r="L326" s="1" t="s">
        <v>1228</v>
      </c>
      <c r="M326" s="1" t="s">
        <v>1241</v>
      </c>
    </row>
    <row r="327" customFormat="false" ht="15" hidden="false" customHeight="true" outlineLevel="0" collapsed="false">
      <c r="A327" s="1" t="s">
        <v>43</v>
      </c>
      <c r="B327" s="1" t="s">
        <v>146</v>
      </c>
      <c r="C327" s="1" t="s">
        <v>1242</v>
      </c>
      <c r="D327" s="1" t="s">
        <v>46</v>
      </c>
      <c r="E327" s="1" t="s">
        <v>62</v>
      </c>
      <c r="J327" s="1" t="s">
        <v>149</v>
      </c>
      <c r="K327" s="1" t="s">
        <v>112</v>
      </c>
      <c r="L327" s="1" t="s">
        <v>1228</v>
      </c>
      <c r="M327" s="1" t="s">
        <v>1243</v>
      </c>
    </row>
    <row r="328" customFormat="false" ht="15" hidden="false" customHeight="true" outlineLevel="0" collapsed="false">
      <c r="A328" s="1" t="s">
        <v>43</v>
      </c>
      <c r="B328" s="1" t="s">
        <v>146</v>
      </c>
      <c r="C328" s="1" t="s">
        <v>1244</v>
      </c>
      <c r="D328" s="1" t="s">
        <v>46</v>
      </c>
      <c r="E328" s="1" t="s">
        <v>62</v>
      </c>
      <c r="J328" s="1" t="s">
        <v>149</v>
      </c>
      <c r="K328" s="1" t="s">
        <v>112</v>
      </c>
      <c r="L328" s="1" t="s">
        <v>1228</v>
      </c>
      <c r="M328" s="1" t="s">
        <v>1245</v>
      </c>
    </row>
    <row r="329" customFormat="false" ht="15" hidden="false" customHeight="true" outlineLevel="0" collapsed="false">
      <c r="A329" s="1" t="s">
        <v>43</v>
      </c>
      <c r="B329" s="1" t="s">
        <v>146</v>
      </c>
      <c r="C329" s="1" t="s">
        <v>1246</v>
      </c>
      <c r="D329" s="1" t="s">
        <v>46</v>
      </c>
      <c r="E329" s="1" t="s">
        <v>62</v>
      </c>
      <c r="J329" s="1" t="s">
        <v>149</v>
      </c>
      <c r="K329" s="1" t="s">
        <v>112</v>
      </c>
      <c r="L329" s="1" t="s">
        <v>1228</v>
      </c>
      <c r="M329" s="1" t="s">
        <v>1247</v>
      </c>
    </row>
    <row r="330" customFormat="false" ht="15" hidden="false" customHeight="true" outlineLevel="0" collapsed="false">
      <c r="A330" s="1" t="s">
        <v>43</v>
      </c>
      <c r="B330" s="1" t="s">
        <v>176</v>
      </c>
      <c r="C330" s="1" t="s">
        <v>1248</v>
      </c>
      <c r="D330" s="1" t="s">
        <v>46</v>
      </c>
      <c r="E330" s="1" t="s">
        <v>71</v>
      </c>
      <c r="H330" s="1" t="s">
        <v>1249</v>
      </c>
      <c r="J330" s="1" t="s">
        <v>178</v>
      </c>
      <c r="K330" s="1" t="s">
        <v>1250</v>
      </c>
      <c r="L330" s="1" t="s">
        <v>1251</v>
      </c>
      <c r="M330" s="1" t="s">
        <v>1252</v>
      </c>
    </row>
    <row r="331" customFormat="false" ht="15" hidden="false" customHeight="true" outlineLevel="0" collapsed="false">
      <c r="A331" s="1" t="s">
        <v>43</v>
      </c>
      <c r="B331" s="1" t="s">
        <v>176</v>
      </c>
      <c r="C331" s="1" t="s">
        <v>1253</v>
      </c>
      <c r="D331" s="1" t="s">
        <v>46</v>
      </c>
      <c r="E331" s="1" t="s">
        <v>62</v>
      </c>
      <c r="J331" s="1" t="s">
        <v>178</v>
      </c>
      <c r="K331" s="1" t="s">
        <v>112</v>
      </c>
      <c r="L331" s="1" t="s">
        <v>1254</v>
      </c>
      <c r="M331" s="1" t="s">
        <v>1255</v>
      </c>
    </row>
    <row r="332" customFormat="false" ht="15" hidden="false" customHeight="true" outlineLevel="0" collapsed="false">
      <c r="A332" s="1" t="s">
        <v>43</v>
      </c>
      <c r="B332" s="1" t="s">
        <v>176</v>
      </c>
      <c r="C332" s="1" t="s">
        <v>1256</v>
      </c>
      <c r="D332" s="1" t="s">
        <v>46</v>
      </c>
      <c r="E332" s="1" t="s">
        <v>71</v>
      </c>
      <c r="J332" s="1" t="s">
        <v>178</v>
      </c>
      <c r="K332" s="1" t="s">
        <v>112</v>
      </c>
      <c r="L332" s="1" t="s">
        <v>1254</v>
      </c>
      <c r="M332" s="1" t="s">
        <v>1257</v>
      </c>
    </row>
    <row r="333" customFormat="false" ht="15" hidden="false" customHeight="true" outlineLevel="0" collapsed="false">
      <c r="A333" s="1" t="s">
        <v>43</v>
      </c>
      <c r="B333" s="1" t="s">
        <v>152</v>
      </c>
      <c r="C333" s="1" t="s">
        <v>1258</v>
      </c>
      <c r="D333" s="1" t="s">
        <v>46</v>
      </c>
      <c r="E333" s="1" t="s">
        <v>71</v>
      </c>
      <c r="H333" s="1" t="s">
        <v>154</v>
      </c>
      <c r="J333" s="1" t="s">
        <v>156</v>
      </c>
      <c r="K333" s="1" t="s">
        <v>57</v>
      </c>
      <c r="L333" s="1" t="s">
        <v>1259</v>
      </c>
      <c r="M333" s="1" t="s">
        <v>1260</v>
      </c>
    </row>
    <row r="334" customFormat="false" ht="15" hidden="false" customHeight="true" outlineLevel="0" collapsed="false">
      <c r="A334" s="1" t="s">
        <v>43</v>
      </c>
      <c r="B334" s="1" t="s">
        <v>181</v>
      </c>
      <c r="C334" s="1" t="s">
        <v>1261</v>
      </c>
      <c r="D334" s="1" t="s">
        <v>46</v>
      </c>
      <c r="E334" s="1" t="s">
        <v>71</v>
      </c>
      <c r="H334" s="1" t="s">
        <v>1262</v>
      </c>
      <c r="J334" s="1" t="s">
        <v>184</v>
      </c>
      <c r="K334" s="1" t="s">
        <v>57</v>
      </c>
      <c r="L334" s="1" t="s">
        <v>186</v>
      </c>
      <c r="M334" s="1" t="s">
        <v>1263</v>
      </c>
    </row>
    <row r="335" customFormat="false" ht="15" hidden="false" customHeight="true" outlineLevel="0" collapsed="false">
      <c r="A335" s="1" t="s">
        <v>43</v>
      </c>
      <c r="B335" s="1" t="s">
        <v>181</v>
      </c>
      <c r="C335" s="1" t="s">
        <v>1264</v>
      </c>
      <c r="D335" s="1" t="s">
        <v>46</v>
      </c>
      <c r="E335" s="1" t="s">
        <v>71</v>
      </c>
      <c r="H335" s="1" t="s">
        <v>1265</v>
      </c>
      <c r="J335" s="1" t="s">
        <v>184</v>
      </c>
      <c r="K335" s="1" t="s">
        <v>57</v>
      </c>
      <c r="L335" s="1" t="s">
        <v>186</v>
      </c>
      <c r="M335" s="1" t="s">
        <v>1266</v>
      </c>
    </row>
    <row r="336" customFormat="false" ht="15" hidden="false" customHeight="true" outlineLevel="0" collapsed="false">
      <c r="A336" s="1" t="s">
        <v>43</v>
      </c>
      <c r="B336" s="1" t="s">
        <v>181</v>
      </c>
      <c r="C336" s="1" t="s">
        <v>1267</v>
      </c>
      <c r="D336" s="1" t="s">
        <v>46</v>
      </c>
      <c r="E336" s="1" t="s">
        <v>71</v>
      </c>
      <c r="H336" s="1" t="s">
        <v>1268</v>
      </c>
      <c r="J336" s="1" t="s">
        <v>184</v>
      </c>
      <c r="K336" s="1" t="s">
        <v>57</v>
      </c>
      <c r="L336" s="1" t="s">
        <v>186</v>
      </c>
      <c r="M336" s="1" t="s">
        <v>1269</v>
      </c>
    </row>
    <row r="337" customFormat="false" ht="15" hidden="false" customHeight="true" outlineLevel="0" collapsed="false">
      <c r="A337" s="1" t="s">
        <v>43</v>
      </c>
      <c r="B337" s="1" t="s">
        <v>181</v>
      </c>
      <c r="C337" s="1" t="s">
        <v>1270</v>
      </c>
      <c r="D337" s="1" t="s">
        <v>46</v>
      </c>
      <c r="E337" s="1" t="s">
        <v>62</v>
      </c>
      <c r="H337" s="1" t="s">
        <v>1271</v>
      </c>
      <c r="J337" s="1" t="s">
        <v>184</v>
      </c>
      <c r="K337" s="1" t="s">
        <v>57</v>
      </c>
      <c r="L337" s="1" t="s">
        <v>186</v>
      </c>
      <c r="M337" s="1" t="s">
        <v>1272</v>
      </c>
    </row>
    <row r="338" customFormat="false" ht="15" hidden="false" customHeight="true" outlineLevel="0" collapsed="false">
      <c r="A338" s="1" t="s">
        <v>43</v>
      </c>
      <c r="B338" s="1" t="s">
        <v>181</v>
      </c>
      <c r="C338" s="1" t="s">
        <v>1273</v>
      </c>
      <c r="D338" s="1" t="s">
        <v>46</v>
      </c>
      <c r="E338" s="1" t="s">
        <v>62</v>
      </c>
      <c r="H338" s="1" t="s">
        <v>1274</v>
      </c>
      <c r="J338" s="1" t="s">
        <v>184</v>
      </c>
      <c r="K338" s="1" t="s">
        <v>57</v>
      </c>
      <c r="L338" s="1" t="s">
        <v>186</v>
      </c>
      <c r="M338" s="1" t="s">
        <v>1275</v>
      </c>
    </row>
    <row r="339" customFormat="false" ht="15" hidden="false" customHeight="true" outlineLevel="0" collapsed="false">
      <c r="A339" s="1" t="s">
        <v>43</v>
      </c>
      <c r="B339" s="1" t="s">
        <v>181</v>
      </c>
      <c r="C339" s="1" t="s">
        <v>1276</v>
      </c>
      <c r="D339" s="1" t="s">
        <v>46</v>
      </c>
      <c r="E339" s="1" t="s">
        <v>62</v>
      </c>
      <c r="H339" s="1" t="s">
        <v>1277</v>
      </c>
      <c r="J339" s="1" t="s">
        <v>184</v>
      </c>
      <c r="K339" s="1" t="s">
        <v>57</v>
      </c>
      <c r="L339" s="1" t="s">
        <v>186</v>
      </c>
      <c r="M339" s="1" t="s">
        <v>1278</v>
      </c>
    </row>
    <row r="340" customFormat="false" ht="15" hidden="false" customHeight="true" outlineLevel="0" collapsed="false">
      <c r="A340" s="1" t="s">
        <v>43</v>
      </c>
      <c r="B340" s="1" t="s">
        <v>181</v>
      </c>
      <c r="C340" s="1" t="s">
        <v>1279</v>
      </c>
      <c r="D340" s="1" t="s">
        <v>46</v>
      </c>
      <c r="E340" s="1" t="s">
        <v>62</v>
      </c>
      <c r="H340" s="1" t="s">
        <v>1280</v>
      </c>
      <c r="J340" s="1" t="s">
        <v>184</v>
      </c>
      <c r="K340" s="1" t="s">
        <v>57</v>
      </c>
      <c r="L340" s="1" t="s">
        <v>186</v>
      </c>
      <c r="M340" s="1" t="s">
        <v>1281</v>
      </c>
    </row>
    <row r="341" customFormat="false" ht="15" hidden="false" customHeight="true" outlineLevel="0" collapsed="false">
      <c r="A341" s="1" t="s">
        <v>43</v>
      </c>
      <c r="B341" s="1" t="s">
        <v>181</v>
      </c>
      <c r="C341" s="1" t="s">
        <v>1282</v>
      </c>
      <c r="D341" s="1" t="s">
        <v>46</v>
      </c>
      <c r="E341" s="1" t="s">
        <v>62</v>
      </c>
      <c r="H341" s="1" t="s">
        <v>1283</v>
      </c>
      <c r="J341" s="1" t="s">
        <v>184</v>
      </c>
      <c r="K341" s="1" t="s">
        <v>57</v>
      </c>
      <c r="L341" s="1" t="s">
        <v>186</v>
      </c>
      <c r="M341" s="1" t="s">
        <v>1284</v>
      </c>
    </row>
    <row r="342" customFormat="false" ht="15" hidden="false" customHeight="true" outlineLevel="0" collapsed="false">
      <c r="A342" s="1" t="s">
        <v>43</v>
      </c>
      <c r="B342" s="1" t="s">
        <v>181</v>
      </c>
      <c r="C342" s="1" t="s">
        <v>1285</v>
      </c>
      <c r="D342" s="1" t="s">
        <v>46</v>
      </c>
      <c r="E342" s="1" t="s">
        <v>62</v>
      </c>
      <c r="H342" s="1" t="s">
        <v>1286</v>
      </c>
      <c r="J342" s="1" t="s">
        <v>184</v>
      </c>
      <c r="K342" s="1" t="s">
        <v>57</v>
      </c>
      <c r="L342" s="1" t="s">
        <v>186</v>
      </c>
      <c r="M342" s="1" t="s">
        <v>1287</v>
      </c>
    </row>
    <row r="343" customFormat="false" ht="15" hidden="false" customHeight="true" outlineLevel="0" collapsed="false">
      <c r="A343" s="1" t="s">
        <v>43</v>
      </c>
      <c r="B343" s="1" t="s">
        <v>181</v>
      </c>
      <c r="C343" s="1" t="s">
        <v>1288</v>
      </c>
      <c r="D343" s="1" t="s">
        <v>46</v>
      </c>
      <c r="E343" s="1" t="s">
        <v>62</v>
      </c>
      <c r="H343" s="1" t="s">
        <v>1289</v>
      </c>
      <c r="J343" s="1" t="s">
        <v>184</v>
      </c>
      <c r="K343" s="1" t="s">
        <v>57</v>
      </c>
      <c r="L343" s="1" t="s">
        <v>186</v>
      </c>
      <c r="M343" s="1" t="s">
        <v>1290</v>
      </c>
    </row>
    <row r="344" customFormat="false" ht="15" hidden="false" customHeight="true" outlineLevel="0" collapsed="false">
      <c r="A344" s="1" t="s">
        <v>43</v>
      </c>
      <c r="B344" s="1" t="s">
        <v>181</v>
      </c>
      <c r="C344" s="1" t="s">
        <v>1291</v>
      </c>
      <c r="D344" s="1" t="s">
        <v>46</v>
      </c>
      <c r="E344" s="1" t="s">
        <v>62</v>
      </c>
      <c r="H344" s="1" t="s">
        <v>1292</v>
      </c>
      <c r="J344" s="1" t="s">
        <v>184</v>
      </c>
      <c r="K344" s="1" t="s">
        <v>57</v>
      </c>
      <c r="L344" s="1" t="s">
        <v>186</v>
      </c>
      <c r="M344" s="1" t="s">
        <v>1293</v>
      </c>
    </row>
    <row r="345" customFormat="false" ht="15" hidden="false" customHeight="true" outlineLevel="0" collapsed="false">
      <c r="A345" s="1" t="s">
        <v>43</v>
      </c>
      <c r="B345" s="1" t="s">
        <v>181</v>
      </c>
      <c r="C345" s="1" t="s">
        <v>1294</v>
      </c>
      <c r="D345" s="1" t="s">
        <v>46</v>
      </c>
      <c r="E345" s="1" t="s">
        <v>62</v>
      </c>
      <c r="H345" s="1" t="s">
        <v>1295</v>
      </c>
      <c r="J345" s="1" t="s">
        <v>184</v>
      </c>
      <c r="K345" s="1" t="s">
        <v>57</v>
      </c>
      <c r="L345" s="1" t="s">
        <v>186</v>
      </c>
      <c r="M345" s="1" t="s">
        <v>1296</v>
      </c>
    </row>
    <row r="346" customFormat="false" ht="15" hidden="false" customHeight="true" outlineLevel="0" collapsed="false">
      <c r="A346" s="1" t="s">
        <v>43</v>
      </c>
      <c r="B346" s="1" t="s">
        <v>213</v>
      </c>
      <c r="C346" s="1" t="s">
        <v>1297</v>
      </c>
      <c r="D346" s="1" t="s">
        <v>46</v>
      </c>
      <c r="E346" s="1" t="s">
        <v>71</v>
      </c>
      <c r="J346" s="1" t="s">
        <v>215</v>
      </c>
      <c r="K346" s="1" t="s">
        <v>112</v>
      </c>
      <c r="L346" s="1" t="s">
        <v>1298</v>
      </c>
      <c r="M346" s="1" t="s">
        <v>1299</v>
      </c>
    </row>
    <row r="347" customFormat="false" ht="15" hidden="false" customHeight="true" outlineLevel="0" collapsed="false">
      <c r="A347" s="1" t="s">
        <v>43</v>
      </c>
      <c r="B347" s="1" t="s">
        <v>213</v>
      </c>
      <c r="C347" s="1" t="s">
        <v>1300</v>
      </c>
      <c r="D347" s="1" t="s">
        <v>46</v>
      </c>
      <c r="E347" s="1" t="s">
        <v>71</v>
      </c>
      <c r="J347" s="1" t="s">
        <v>215</v>
      </c>
      <c r="K347" s="1" t="s">
        <v>112</v>
      </c>
      <c r="L347" s="1" t="s">
        <v>1298</v>
      </c>
      <c r="M347" s="1" t="s">
        <v>1301</v>
      </c>
    </row>
    <row r="348" customFormat="false" ht="15" hidden="false" customHeight="true" outlineLevel="0" collapsed="false">
      <c r="A348" s="1" t="s">
        <v>43</v>
      </c>
      <c r="B348" s="1" t="s">
        <v>213</v>
      </c>
      <c r="C348" s="1" t="s">
        <v>1302</v>
      </c>
      <c r="D348" s="1" t="s">
        <v>46</v>
      </c>
      <c r="E348" s="1" t="s">
        <v>201</v>
      </c>
      <c r="H348" s="1" t="s">
        <v>1303</v>
      </c>
      <c r="J348" s="1" t="s">
        <v>215</v>
      </c>
      <c r="K348" s="1" t="s">
        <v>1304</v>
      </c>
      <c r="L348" s="1" t="s">
        <v>1298</v>
      </c>
      <c r="M348" s="1" t="s">
        <v>1305</v>
      </c>
    </row>
    <row r="349" customFormat="false" ht="15" hidden="false" customHeight="true" outlineLevel="0" collapsed="false">
      <c r="A349" s="1" t="s">
        <v>43</v>
      </c>
      <c r="B349" s="1" t="s">
        <v>213</v>
      </c>
      <c r="C349" s="1" t="s">
        <v>1306</v>
      </c>
      <c r="D349" s="1" t="s">
        <v>46</v>
      </c>
      <c r="E349" s="1" t="s">
        <v>201</v>
      </c>
      <c r="J349" s="1" t="s">
        <v>215</v>
      </c>
      <c r="K349" s="1" t="s">
        <v>112</v>
      </c>
      <c r="L349" s="1" t="s">
        <v>1298</v>
      </c>
      <c r="M349" s="1" t="s">
        <v>1307</v>
      </c>
    </row>
    <row r="350" customFormat="false" ht="15" hidden="false" customHeight="true" outlineLevel="0" collapsed="false">
      <c r="A350" s="1" t="s">
        <v>43</v>
      </c>
      <c r="B350" s="1" t="s">
        <v>223</v>
      </c>
      <c r="C350" s="1" t="s">
        <v>1308</v>
      </c>
      <c r="D350" s="1" t="s">
        <v>46</v>
      </c>
      <c r="E350" s="1" t="s">
        <v>201</v>
      </c>
      <c r="J350" s="1" t="s">
        <v>225</v>
      </c>
      <c r="K350" s="1" t="s">
        <v>112</v>
      </c>
      <c r="L350" s="1" t="s">
        <v>1309</v>
      </c>
      <c r="M350" s="1" t="s">
        <v>1310</v>
      </c>
    </row>
    <row r="351" customFormat="false" ht="15" hidden="false" customHeight="true" outlineLevel="0" collapsed="false">
      <c r="A351" s="1" t="s">
        <v>43</v>
      </c>
      <c r="B351" s="1" t="s">
        <v>257</v>
      </c>
      <c r="C351" s="1" t="s">
        <v>1311</v>
      </c>
      <c r="D351" s="1" t="s">
        <v>46</v>
      </c>
      <c r="E351" s="1" t="s">
        <v>62</v>
      </c>
      <c r="H351" s="1" t="s">
        <v>1312</v>
      </c>
      <c r="J351" s="1" t="s">
        <v>260</v>
      </c>
      <c r="K351" s="1" t="s">
        <v>57</v>
      </c>
      <c r="L351" s="1" t="s">
        <v>1313</v>
      </c>
      <c r="M351" s="1" t="s">
        <v>1314</v>
      </c>
    </row>
    <row r="352" customFormat="false" ht="15" hidden="false" customHeight="true" outlineLevel="0" collapsed="false">
      <c r="A352" s="1" t="s">
        <v>43</v>
      </c>
      <c r="B352" s="1" t="s">
        <v>305</v>
      </c>
      <c r="C352" s="1" t="s">
        <v>1315</v>
      </c>
      <c r="D352" s="1" t="s">
        <v>46</v>
      </c>
      <c r="E352" s="1" t="s">
        <v>71</v>
      </c>
      <c r="H352" s="1" t="s">
        <v>1316</v>
      </c>
      <c r="J352" s="1" t="s">
        <v>308</v>
      </c>
      <c r="K352" s="1" t="s">
        <v>57</v>
      </c>
      <c r="L352" s="1" t="s">
        <v>309</v>
      </c>
      <c r="M352" s="1" t="s">
        <v>1317</v>
      </c>
    </row>
    <row r="353" customFormat="false" ht="15" hidden="false" customHeight="true" outlineLevel="0" collapsed="false">
      <c r="A353" s="1" t="s">
        <v>43</v>
      </c>
      <c r="B353" s="1" t="s">
        <v>345</v>
      </c>
      <c r="C353" s="1" t="s">
        <v>1318</v>
      </c>
      <c r="D353" s="1" t="s">
        <v>46</v>
      </c>
      <c r="E353" s="1" t="s">
        <v>71</v>
      </c>
      <c r="H353" s="1" t="s">
        <v>347</v>
      </c>
      <c r="J353" s="1" t="s">
        <v>348</v>
      </c>
      <c r="K353" s="1" t="s">
        <v>354</v>
      </c>
      <c r="L353" s="1" t="s">
        <v>350</v>
      </c>
      <c r="M353" s="1" t="s">
        <v>1319</v>
      </c>
    </row>
    <row r="354" customFormat="false" ht="15" hidden="false" customHeight="true" outlineLevel="0" collapsed="false">
      <c r="A354" s="1" t="s">
        <v>43</v>
      </c>
      <c r="B354" s="1" t="s">
        <v>345</v>
      </c>
      <c r="C354" s="1" t="s">
        <v>1320</v>
      </c>
      <c r="D354" s="1" t="s">
        <v>46</v>
      </c>
      <c r="E354" s="1" t="s">
        <v>71</v>
      </c>
      <c r="H354" s="1" t="s">
        <v>1321</v>
      </c>
      <c r="J354" s="1" t="s">
        <v>348</v>
      </c>
      <c r="K354" s="1" t="s">
        <v>57</v>
      </c>
      <c r="L354" s="1" t="s">
        <v>350</v>
      </c>
      <c r="M354" s="1" t="s">
        <v>1322</v>
      </c>
    </row>
    <row r="355" customFormat="false" ht="15" hidden="false" customHeight="true" outlineLevel="0" collapsed="false">
      <c r="A355" s="1" t="s">
        <v>43</v>
      </c>
      <c r="B355" s="1" t="s">
        <v>345</v>
      </c>
      <c r="C355" s="1" t="s">
        <v>1323</v>
      </c>
      <c r="D355" s="1" t="s">
        <v>46</v>
      </c>
      <c r="E355" s="1" t="s">
        <v>71</v>
      </c>
      <c r="H355" s="1" t="s">
        <v>1324</v>
      </c>
      <c r="J355" s="1" t="s">
        <v>348</v>
      </c>
      <c r="K355" s="1" t="s">
        <v>57</v>
      </c>
      <c r="L355" s="1" t="s">
        <v>350</v>
      </c>
      <c r="M355" s="1" t="s">
        <v>1325</v>
      </c>
    </row>
    <row r="356" customFormat="false" ht="15" hidden="false" customHeight="true" outlineLevel="0" collapsed="false">
      <c r="A356" s="1" t="s">
        <v>43</v>
      </c>
      <c r="B356" s="1" t="s">
        <v>382</v>
      </c>
      <c r="C356" s="1" t="s">
        <v>1326</v>
      </c>
      <c r="D356" s="1" t="s">
        <v>46</v>
      </c>
      <c r="E356" s="1" t="s">
        <v>71</v>
      </c>
      <c r="J356" s="1" t="s">
        <v>384</v>
      </c>
      <c r="K356" s="1" t="s">
        <v>112</v>
      </c>
      <c r="L356" s="1" t="s">
        <v>385</v>
      </c>
      <c r="M356" s="1" t="s">
        <v>1327</v>
      </c>
    </row>
    <row r="357" customFormat="false" ht="15" hidden="false" customHeight="true" outlineLevel="0" collapsed="false">
      <c r="A357" s="1" t="s">
        <v>43</v>
      </c>
      <c r="B357" s="1" t="s">
        <v>407</v>
      </c>
      <c r="C357" s="1" t="s">
        <v>1328</v>
      </c>
      <c r="D357" s="1" t="s">
        <v>46</v>
      </c>
      <c r="E357" s="1" t="s">
        <v>62</v>
      </c>
      <c r="H357" s="1" t="s">
        <v>1329</v>
      </c>
      <c r="J357" s="1" t="s">
        <v>410</v>
      </c>
      <c r="K357" s="1" t="s">
        <v>57</v>
      </c>
      <c r="L357" s="1" t="s">
        <v>412</v>
      </c>
      <c r="M357" s="1" t="s">
        <v>1330</v>
      </c>
    </row>
    <row r="358" customFormat="false" ht="15" hidden="false" customHeight="true" outlineLevel="0" collapsed="false">
      <c r="A358" s="1" t="s">
        <v>43</v>
      </c>
      <c r="B358" s="1" t="s">
        <v>407</v>
      </c>
      <c r="C358" s="1" t="s">
        <v>1331</v>
      </c>
      <c r="D358" s="1" t="s">
        <v>46</v>
      </c>
      <c r="E358" s="1" t="s">
        <v>47</v>
      </c>
      <c r="H358" s="1" t="s">
        <v>1332</v>
      </c>
      <c r="J358" s="1" t="s">
        <v>410</v>
      </c>
      <c r="K358" s="1" t="s">
        <v>90</v>
      </c>
      <c r="L358" s="1" t="s">
        <v>412</v>
      </c>
      <c r="M358" s="1" t="s">
        <v>1333</v>
      </c>
    </row>
    <row r="359" customFormat="false" ht="15" hidden="false" customHeight="true" outlineLevel="0" collapsed="false">
      <c r="A359" s="1" t="s">
        <v>43</v>
      </c>
      <c r="B359" s="1" t="s">
        <v>456</v>
      </c>
      <c r="C359" s="1" t="s">
        <v>1334</v>
      </c>
      <c r="D359" s="1" t="s">
        <v>46</v>
      </c>
      <c r="E359" s="1" t="s">
        <v>62</v>
      </c>
      <c r="H359" s="1" t="s">
        <v>1335</v>
      </c>
      <c r="J359" s="1" t="s">
        <v>460</v>
      </c>
      <c r="K359" s="1" t="s">
        <v>467</v>
      </c>
      <c r="L359" s="1" t="s">
        <v>462</v>
      </c>
      <c r="M359" s="1" t="s">
        <v>1336</v>
      </c>
    </row>
    <row r="360" customFormat="false" ht="15" hidden="false" customHeight="true" outlineLevel="0" collapsed="false">
      <c r="A360" s="1" t="s">
        <v>43</v>
      </c>
      <c r="B360" s="1" t="s">
        <v>456</v>
      </c>
      <c r="C360" s="1" t="s">
        <v>1337</v>
      </c>
      <c r="D360" s="1" t="s">
        <v>46</v>
      </c>
      <c r="E360" s="1" t="s">
        <v>71</v>
      </c>
      <c r="H360" s="1" t="s">
        <v>1338</v>
      </c>
      <c r="J360" s="1" t="s">
        <v>460</v>
      </c>
      <c r="K360" s="1" t="s">
        <v>467</v>
      </c>
      <c r="L360" s="1" t="s">
        <v>462</v>
      </c>
      <c r="M360" s="1" t="s">
        <v>1339</v>
      </c>
    </row>
    <row r="361" customFormat="false" ht="15" hidden="false" customHeight="true" outlineLevel="0" collapsed="false">
      <c r="A361" s="1" t="s">
        <v>43</v>
      </c>
      <c r="B361" s="1" t="s">
        <v>691</v>
      </c>
      <c r="C361" s="1" t="s">
        <v>1340</v>
      </c>
      <c r="D361" s="1" t="s">
        <v>74</v>
      </c>
      <c r="E361" s="1" t="s">
        <v>47</v>
      </c>
      <c r="J361" s="1" t="s">
        <v>1341</v>
      </c>
      <c r="K361" s="1" t="s">
        <v>112</v>
      </c>
      <c r="L361" s="1" t="s">
        <v>1342</v>
      </c>
      <c r="M361" s="1" t="s">
        <v>1343</v>
      </c>
    </row>
    <row r="362" customFormat="false" ht="15" hidden="false" customHeight="true" outlineLevel="0" collapsed="false">
      <c r="A362" s="1" t="s">
        <v>43</v>
      </c>
      <c r="B362" s="1" t="s">
        <v>691</v>
      </c>
      <c r="C362" s="1" t="s">
        <v>1344</v>
      </c>
      <c r="D362" s="1" t="s">
        <v>46</v>
      </c>
      <c r="E362" s="1" t="s">
        <v>201</v>
      </c>
      <c r="J362" s="1" t="s">
        <v>693</v>
      </c>
      <c r="K362" s="1" t="s">
        <v>112</v>
      </c>
      <c r="L362" s="1" t="s">
        <v>1342</v>
      </c>
      <c r="M362" s="1" t="s">
        <v>1345</v>
      </c>
    </row>
    <row r="363" customFormat="false" ht="15" hidden="false" customHeight="true" outlineLevel="0" collapsed="false">
      <c r="A363" s="1" t="s">
        <v>43</v>
      </c>
      <c r="B363" s="1" t="s">
        <v>663</v>
      </c>
      <c r="C363" s="1" t="s">
        <v>1346</v>
      </c>
      <c r="D363" s="1" t="s">
        <v>46</v>
      </c>
      <c r="E363" s="1" t="s">
        <v>71</v>
      </c>
      <c r="J363" s="1" t="s">
        <v>667</v>
      </c>
      <c r="K363" s="1" t="s">
        <v>112</v>
      </c>
      <c r="L363" s="1" t="s">
        <v>1347</v>
      </c>
      <c r="M363" s="1" t="s">
        <v>1348</v>
      </c>
    </row>
    <row r="364" customFormat="false" ht="15" hidden="false" customHeight="true" outlineLevel="0" collapsed="false">
      <c r="A364" s="1" t="s">
        <v>43</v>
      </c>
      <c r="B364" s="1" t="s">
        <v>663</v>
      </c>
      <c r="C364" s="1" t="s">
        <v>689</v>
      </c>
      <c r="D364" s="1" t="s">
        <v>46</v>
      </c>
      <c r="E364" s="1" t="s">
        <v>71</v>
      </c>
      <c r="J364" s="1" t="s">
        <v>667</v>
      </c>
      <c r="K364" s="1" t="s">
        <v>112</v>
      </c>
      <c r="L364" s="1" t="s">
        <v>1347</v>
      </c>
      <c r="M364" s="1" t="s">
        <v>1349</v>
      </c>
    </row>
    <row r="365" customFormat="false" ht="15" hidden="false" customHeight="true" outlineLevel="0" collapsed="false">
      <c r="A365" s="1" t="s">
        <v>43</v>
      </c>
      <c r="B365" s="1" t="s">
        <v>743</v>
      </c>
      <c r="C365" s="1" t="s">
        <v>1350</v>
      </c>
      <c r="D365" s="1" t="s">
        <v>46</v>
      </c>
      <c r="E365" s="1" t="s">
        <v>62</v>
      </c>
      <c r="J365" s="1" t="s">
        <v>745</v>
      </c>
      <c r="K365" s="1" t="s">
        <v>112</v>
      </c>
      <c r="L365" s="1" t="s">
        <v>746</v>
      </c>
      <c r="M365" s="1" t="s">
        <v>1351</v>
      </c>
    </row>
    <row r="366" customFormat="false" ht="15" hidden="false" customHeight="true" outlineLevel="0" collapsed="false">
      <c r="A366" s="1" t="s">
        <v>43</v>
      </c>
      <c r="B366" s="1" t="s">
        <v>743</v>
      </c>
      <c r="C366" s="1" t="s">
        <v>1352</v>
      </c>
      <c r="D366" s="1" t="s">
        <v>46</v>
      </c>
      <c r="E366" s="1" t="s">
        <v>62</v>
      </c>
      <c r="H366" s="1" t="s">
        <v>1353</v>
      </c>
      <c r="J366" s="1" t="s">
        <v>745</v>
      </c>
      <c r="K366" s="1" t="s">
        <v>1354</v>
      </c>
      <c r="L366" s="1" t="s">
        <v>746</v>
      </c>
      <c r="M366" s="1" t="s">
        <v>1355</v>
      </c>
    </row>
    <row r="367" customFormat="false" ht="15" hidden="false" customHeight="true" outlineLevel="0" collapsed="false">
      <c r="A367" s="1" t="s">
        <v>43</v>
      </c>
      <c r="B367" s="1" t="s">
        <v>743</v>
      </c>
      <c r="C367" s="1" t="s">
        <v>1356</v>
      </c>
      <c r="D367" s="1" t="s">
        <v>46</v>
      </c>
      <c r="E367" s="1" t="s">
        <v>62</v>
      </c>
      <c r="H367" s="1" t="s">
        <v>1357</v>
      </c>
      <c r="J367" s="1" t="s">
        <v>745</v>
      </c>
      <c r="K367" s="1" t="s">
        <v>1354</v>
      </c>
      <c r="L367" s="1" t="s">
        <v>746</v>
      </c>
      <c r="M367" s="1" t="s">
        <v>1358</v>
      </c>
    </row>
    <row r="368" customFormat="false" ht="15" hidden="false" customHeight="true" outlineLevel="0" collapsed="false">
      <c r="A368" s="1" t="s">
        <v>43</v>
      </c>
      <c r="B368" s="1" t="s">
        <v>743</v>
      </c>
      <c r="C368" s="1" t="s">
        <v>1359</v>
      </c>
      <c r="D368" s="1" t="s">
        <v>46</v>
      </c>
      <c r="E368" s="1" t="s">
        <v>62</v>
      </c>
      <c r="J368" s="1" t="s">
        <v>745</v>
      </c>
      <c r="K368" s="1" t="s">
        <v>112</v>
      </c>
      <c r="L368" s="1" t="s">
        <v>746</v>
      </c>
      <c r="M368" s="1" t="s">
        <v>1360</v>
      </c>
    </row>
    <row r="369" customFormat="false" ht="15" hidden="false" customHeight="true" outlineLevel="0" collapsed="false">
      <c r="A369" s="1" t="s">
        <v>43</v>
      </c>
      <c r="B369" s="1" t="s">
        <v>743</v>
      </c>
      <c r="C369" s="1" t="s">
        <v>1361</v>
      </c>
      <c r="D369" s="1" t="s">
        <v>46</v>
      </c>
      <c r="E369" s="1" t="s">
        <v>62</v>
      </c>
      <c r="J369" s="1" t="s">
        <v>745</v>
      </c>
      <c r="K369" s="1" t="s">
        <v>112</v>
      </c>
      <c r="L369" s="1" t="s">
        <v>746</v>
      </c>
      <c r="M369" s="1" t="s">
        <v>1362</v>
      </c>
    </row>
    <row r="370" customFormat="false" ht="15" hidden="false" customHeight="true" outlineLevel="0" collapsed="false">
      <c r="A370" s="1" t="s">
        <v>43</v>
      </c>
      <c r="B370" s="1" t="s">
        <v>743</v>
      </c>
      <c r="C370" s="1" t="s">
        <v>1363</v>
      </c>
      <c r="D370" s="1" t="s">
        <v>46</v>
      </c>
      <c r="E370" s="1" t="s">
        <v>62</v>
      </c>
      <c r="J370" s="1" t="s">
        <v>745</v>
      </c>
      <c r="K370" s="1" t="s">
        <v>112</v>
      </c>
      <c r="L370" s="1" t="s">
        <v>746</v>
      </c>
      <c r="M370" s="1" t="s">
        <v>1364</v>
      </c>
    </row>
    <row r="371" customFormat="false" ht="15" hidden="false" customHeight="true" outlineLevel="0" collapsed="false">
      <c r="A371" s="1" t="s">
        <v>43</v>
      </c>
      <c r="B371" s="1" t="s">
        <v>1365</v>
      </c>
      <c r="C371" s="1" t="s">
        <v>1366</v>
      </c>
      <c r="D371" s="1" t="s">
        <v>46</v>
      </c>
      <c r="E371" s="1" t="s">
        <v>62</v>
      </c>
      <c r="H371" s="1" t="s">
        <v>1367</v>
      </c>
      <c r="J371" s="1" t="s">
        <v>1368</v>
      </c>
      <c r="K371" s="1" t="s">
        <v>57</v>
      </c>
      <c r="L371" s="1" t="s">
        <v>1369</v>
      </c>
      <c r="M371" s="1" t="s">
        <v>1370</v>
      </c>
    </row>
    <row r="372" customFormat="false" ht="15" hidden="false" customHeight="true" outlineLevel="0" collapsed="false">
      <c r="A372" s="1" t="s">
        <v>43</v>
      </c>
      <c r="B372" s="1" t="s">
        <v>1365</v>
      </c>
      <c r="C372" s="1" t="s">
        <v>1371</v>
      </c>
      <c r="D372" s="1" t="s">
        <v>46</v>
      </c>
      <c r="E372" s="1" t="s">
        <v>62</v>
      </c>
      <c r="H372" s="1" t="s">
        <v>1372</v>
      </c>
      <c r="J372" s="1" t="s">
        <v>1368</v>
      </c>
      <c r="K372" s="1" t="s">
        <v>57</v>
      </c>
      <c r="L372" s="1" t="s">
        <v>1369</v>
      </c>
      <c r="M372" s="1" t="s">
        <v>1373</v>
      </c>
    </row>
    <row r="373" customFormat="false" ht="15" hidden="false" customHeight="true" outlineLevel="0" collapsed="false">
      <c r="A373" s="1" t="s">
        <v>43</v>
      </c>
      <c r="B373" s="1" t="s">
        <v>1365</v>
      </c>
      <c r="C373" s="1" t="s">
        <v>1374</v>
      </c>
      <c r="D373" s="1" t="s">
        <v>46</v>
      </c>
      <c r="E373" s="1" t="s">
        <v>71</v>
      </c>
      <c r="H373" s="1" t="s">
        <v>1375</v>
      </c>
      <c r="J373" s="1" t="s">
        <v>1368</v>
      </c>
      <c r="K373" s="1" t="s">
        <v>57</v>
      </c>
      <c r="L373" s="1" t="s">
        <v>1369</v>
      </c>
      <c r="M373" s="1" t="s">
        <v>1376</v>
      </c>
    </row>
    <row r="374" customFormat="false" ht="15" hidden="false" customHeight="true" outlineLevel="0" collapsed="false">
      <c r="A374" s="1" t="s">
        <v>43</v>
      </c>
      <c r="B374" s="1" t="s">
        <v>1365</v>
      </c>
      <c r="C374" s="1" t="s">
        <v>1377</v>
      </c>
      <c r="D374" s="1" t="s">
        <v>46</v>
      </c>
      <c r="E374" s="1" t="s">
        <v>71</v>
      </c>
      <c r="H374" s="1" t="s">
        <v>1378</v>
      </c>
      <c r="J374" s="1" t="s">
        <v>1368</v>
      </c>
      <c r="K374" s="1" t="s">
        <v>57</v>
      </c>
      <c r="L374" s="1" t="s">
        <v>1369</v>
      </c>
      <c r="M374" s="1" t="s">
        <v>1379</v>
      </c>
    </row>
    <row r="375" customFormat="false" ht="15" hidden="false" customHeight="true" outlineLevel="0" collapsed="false">
      <c r="A375" s="1" t="s">
        <v>43</v>
      </c>
      <c r="B375" s="1" t="s">
        <v>1365</v>
      </c>
      <c r="C375" s="1" t="s">
        <v>1380</v>
      </c>
      <c r="D375" s="1" t="s">
        <v>46</v>
      </c>
      <c r="E375" s="1" t="s">
        <v>71</v>
      </c>
      <c r="H375" s="1" t="s">
        <v>1381</v>
      </c>
      <c r="J375" s="1" t="s">
        <v>1368</v>
      </c>
      <c r="K375" s="1" t="s">
        <v>57</v>
      </c>
      <c r="L375" s="1" t="s">
        <v>1369</v>
      </c>
      <c r="M375" s="1" t="s">
        <v>1382</v>
      </c>
    </row>
    <row r="376" customFormat="false" ht="15" hidden="false" customHeight="true" outlineLevel="0" collapsed="false">
      <c r="A376" s="1" t="s">
        <v>43</v>
      </c>
      <c r="B376" s="1" t="s">
        <v>1365</v>
      </c>
      <c r="C376" s="1" t="s">
        <v>1383</v>
      </c>
      <c r="D376" s="1" t="s">
        <v>46</v>
      </c>
      <c r="E376" s="1" t="s">
        <v>71</v>
      </c>
      <c r="H376" s="1" t="s">
        <v>1384</v>
      </c>
      <c r="J376" s="1" t="s">
        <v>1368</v>
      </c>
      <c r="K376" s="1" t="s">
        <v>57</v>
      </c>
      <c r="L376" s="1" t="s">
        <v>1369</v>
      </c>
      <c r="M376" s="1" t="s">
        <v>1385</v>
      </c>
    </row>
    <row r="377" customFormat="false" ht="15" hidden="false" customHeight="true" outlineLevel="0" collapsed="false">
      <c r="A377" s="1" t="s">
        <v>43</v>
      </c>
      <c r="B377" s="1" t="s">
        <v>1365</v>
      </c>
      <c r="C377" s="1" t="s">
        <v>1386</v>
      </c>
      <c r="D377" s="1" t="s">
        <v>46</v>
      </c>
      <c r="E377" s="1" t="s">
        <v>71</v>
      </c>
      <c r="H377" s="1" t="s">
        <v>1387</v>
      </c>
      <c r="J377" s="1" t="s">
        <v>1368</v>
      </c>
      <c r="K377" s="1" t="s">
        <v>57</v>
      </c>
      <c r="L377" s="1" t="s">
        <v>1369</v>
      </c>
      <c r="M377" s="1" t="s">
        <v>1388</v>
      </c>
    </row>
    <row r="378" customFormat="false" ht="15" hidden="false" customHeight="true" outlineLevel="0" collapsed="false">
      <c r="A378" s="1" t="s">
        <v>43</v>
      </c>
      <c r="B378" s="1" t="s">
        <v>1365</v>
      </c>
      <c r="C378" s="1" t="s">
        <v>1389</v>
      </c>
      <c r="D378" s="1" t="s">
        <v>46</v>
      </c>
      <c r="E378" s="1" t="s">
        <v>62</v>
      </c>
      <c r="H378" s="1" t="s">
        <v>1390</v>
      </c>
      <c r="J378" s="1" t="s">
        <v>1368</v>
      </c>
      <c r="K378" s="1" t="s">
        <v>57</v>
      </c>
      <c r="L378" s="1" t="s">
        <v>1369</v>
      </c>
      <c r="M378" s="1" t="s">
        <v>1391</v>
      </c>
    </row>
    <row r="379" customFormat="false" ht="15" hidden="false" customHeight="true" outlineLevel="0" collapsed="false">
      <c r="A379" s="1" t="s">
        <v>43</v>
      </c>
      <c r="B379" s="1" t="s">
        <v>1365</v>
      </c>
      <c r="C379" s="1" t="s">
        <v>1392</v>
      </c>
      <c r="D379" s="1" t="s">
        <v>46</v>
      </c>
      <c r="E379" s="1" t="s">
        <v>71</v>
      </c>
      <c r="H379" s="1" t="s">
        <v>1393</v>
      </c>
      <c r="J379" s="1" t="s">
        <v>1368</v>
      </c>
      <c r="K379" s="1" t="s">
        <v>57</v>
      </c>
      <c r="L379" s="1" t="s">
        <v>1369</v>
      </c>
      <c r="M379" s="1" t="s">
        <v>1394</v>
      </c>
    </row>
    <row r="380" customFormat="false" ht="15" hidden="false" customHeight="true" outlineLevel="0" collapsed="false">
      <c r="A380" s="1" t="s">
        <v>43</v>
      </c>
      <c r="B380" s="1" t="s">
        <v>1365</v>
      </c>
      <c r="C380" s="1" t="s">
        <v>1395</v>
      </c>
      <c r="D380" s="1" t="s">
        <v>74</v>
      </c>
      <c r="E380" s="1" t="s">
        <v>71</v>
      </c>
      <c r="H380" s="1" t="s">
        <v>1396</v>
      </c>
      <c r="J380" s="1" t="s">
        <v>1397</v>
      </c>
      <c r="K380" s="1" t="s">
        <v>57</v>
      </c>
      <c r="L380" s="1" t="s">
        <v>1369</v>
      </c>
      <c r="M380" s="1" t="s">
        <v>1398</v>
      </c>
    </row>
    <row r="381" customFormat="false" ht="15" hidden="false" customHeight="true" outlineLevel="0" collapsed="false">
      <c r="A381" s="1" t="s">
        <v>414</v>
      </c>
      <c r="B381" s="1" t="s">
        <v>1399</v>
      </c>
      <c r="C381" s="1" t="s">
        <v>1400</v>
      </c>
      <c r="D381" s="1" t="s">
        <v>125</v>
      </c>
      <c r="E381" s="1" t="s">
        <v>71</v>
      </c>
      <c r="F381" s="1" t="s">
        <v>1401</v>
      </c>
      <c r="G381" s="1" t="s">
        <v>1402</v>
      </c>
      <c r="H381" s="1" t="s">
        <v>1403</v>
      </c>
      <c r="J381" s="1" t="s">
        <v>1404</v>
      </c>
      <c r="K381" s="1" t="s">
        <v>57</v>
      </c>
      <c r="L381" s="1" t="s">
        <v>1405</v>
      </c>
      <c r="M381" s="1" t="s">
        <v>1406</v>
      </c>
    </row>
    <row r="382" customFormat="false" ht="15" hidden="false" customHeight="false" outlineLevel="0" collapsed="false">
      <c r="A382" s="1" t="s">
        <v>43</v>
      </c>
      <c r="B382" s="1" t="s">
        <v>1407</v>
      </c>
      <c r="C382" s="1" t="s">
        <v>1408</v>
      </c>
      <c r="D382" s="1" t="s">
        <v>46</v>
      </c>
      <c r="E382" s="1" t="s">
        <v>71</v>
      </c>
      <c r="F382" s="1" t="s">
        <v>1409</v>
      </c>
      <c r="G382" s="1" t="s">
        <v>1410</v>
      </c>
      <c r="H382" s="1" t="s">
        <v>1411</v>
      </c>
      <c r="J382" s="1" t="s">
        <v>1412</v>
      </c>
      <c r="K382" s="1" t="s">
        <v>57</v>
      </c>
      <c r="L382" s="1" t="s">
        <v>1413</v>
      </c>
      <c r="M382" s="1" t="s">
        <v>1414</v>
      </c>
    </row>
    <row r="383" customFormat="false" ht="15" hidden="false" customHeight="false" outlineLevel="0" collapsed="false">
      <c r="A383" s="1" t="s">
        <v>43</v>
      </c>
      <c r="B383" s="1" t="s">
        <v>1407</v>
      </c>
      <c r="C383" s="1" t="s">
        <v>1415</v>
      </c>
      <c r="D383" s="1" t="s">
        <v>46</v>
      </c>
      <c r="E383" s="1" t="s">
        <v>71</v>
      </c>
      <c r="F383" s="1" t="s">
        <v>1409</v>
      </c>
      <c r="G383" s="1" t="s">
        <v>1410</v>
      </c>
      <c r="H383" s="1" t="s">
        <v>1416</v>
      </c>
      <c r="J383" s="1" t="s">
        <v>1412</v>
      </c>
      <c r="K383" s="1" t="s">
        <v>57</v>
      </c>
      <c r="L383" s="1" t="s">
        <v>1413</v>
      </c>
      <c r="M383" s="1" t="s">
        <v>1417</v>
      </c>
    </row>
    <row r="384" customFormat="false" ht="15" hidden="false" customHeight="false" outlineLevel="0" collapsed="false">
      <c r="A384" s="1" t="s">
        <v>414</v>
      </c>
      <c r="B384" s="1" t="s">
        <v>1409</v>
      </c>
      <c r="C384" s="1" t="s">
        <v>1418</v>
      </c>
      <c r="D384" s="1" t="s">
        <v>125</v>
      </c>
      <c r="E384" s="1" t="s">
        <v>71</v>
      </c>
      <c r="F384" s="1" t="s">
        <v>1409</v>
      </c>
      <c r="G384" s="1" t="s">
        <v>1419</v>
      </c>
      <c r="H384" s="1" t="s">
        <v>1420</v>
      </c>
      <c r="J384" s="1" t="s">
        <v>1421</v>
      </c>
      <c r="K384" s="1" t="s">
        <v>1422</v>
      </c>
      <c r="L384" s="1" t="s">
        <v>1423</v>
      </c>
      <c r="M384" s="1" t="s">
        <v>1424</v>
      </c>
    </row>
    <row r="385" customFormat="false" ht="15" hidden="false" customHeight="false" outlineLevel="0" collapsed="false">
      <c r="A385" s="1" t="s">
        <v>414</v>
      </c>
      <c r="B385" s="1" t="s">
        <v>1409</v>
      </c>
      <c r="C385" s="1" t="s">
        <v>1425</v>
      </c>
      <c r="D385" s="1" t="s">
        <v>125</v>
      </c>
      <c r="E385" s="1" t="s">
        <v>71</v>
      </c>
      <c r="F385" s="1" t="s">
        <v>1409</v>
      </c>
      <c r="G385" s="1" t="s">
        <v>1426</v>
      </c>
      <c r="H385" s="1" t="s">
        <v>1427</v>
      </c>
      <c r="J385" s="1" t="s">
        <v>1421</v>
      </c>
      <c r="K385" s="1" t="s">
        <v>1428</v>
      </c>
      <c r="L385" s="1" t="s">
        <v>1423</v>
      </c>
      <c r="M385" s="1" t="s">
        <v>1429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14"/>
    <col collapsed="false" customWidth="true" hidden="false" outlineLevel="0" max="5" min="4" style="1" width="9"/>
    <col collapsed="false" customWidth="true" hidden="false" outlineLevel="0" max="6" min="6" style="1" width="11"/>
    <col collapsed="false" customWidth="true" hidden="false" outlineLevel="0" max="7" min="7" style="1" width="16"/>
    <col collapsed="false" customWidth="true" hidden="false" outlineLevel="0" max="8" min="8" style="1" width="30"/>
  </cols>
  <sheetData>
    <row r="1" customFormat="false" ht="27.75" hidden="false" customHeight="true" outlineLevel="0" collapsed="false">
      <c r="A1" s="6" t="s">
        <v>31</v>
      </c>
      <c r="B1" s="6" t="s">
        <v>1430</v>
      </c>
      <c r="C1" s="6" t="s">
        <v>1431</v>
      </c>
      <c r="D1" s="6" t="s">
        <v>1432</v>
      </c>
      <c r="E1" s="6" t="s">
        <v>1433</v>
      </c>
      <c r="F1" s="6" t="s">
        <v>1434</v>
      </c>
      <c r="G1" s="6" t="s">
        <v>40</v>
      </c>
      <c r="H1" s="6" t="s">
        <v>42</v>
      </c>
    </row>
    <row r="2" customFormat="false" ht="15" hidden="false" customHeight="true" outlineLevel="0" collapsed="false">
      <c r="A2" s="11" t="s">
        <v>44</v>
      </c>
      <c r="B2" s="11" t="s">
        <v>46</v>
      </c>
      <c r="C2" s="11" t="n">
        <v>1</v>
      </c>
      <c r="D2" s="11" t="n">
        <v>0</v>
      </c>
      <c r="E2" s="11" t="n">
        <v>0</v>
      </c>
      <c r="F2" s="11" t="n">
        <v>1</v>
      </c>
      <c r="G2" s="12" t="s">
        <v>64</v>
      </c>
      <c r="H2" s="11"/>
    </row>
    <row r="3" customFormat="false" ht="15" hidden="false" customHeight="true" outlineLevel="0" collapsed="false">
      <c r="A3" s="11" t="s">
        <v>53</v>
      </c>
      <c r="B3" s="11" t="s">
        <v>46</v>
      </c>
      <c r="C3" s="11" t="n">
        <v>1</v>
      </c>
      <c r="D3" s="11" t="n">
        <v>1</v>
      </c>
      <c r="E3" s="11" t="n">
        <v>0</v>
      </c>
      <c r="F3" s="11" t="n">
        <v>0</v>
      </c>
      <c r="G3" s="12" t="s">
        <v>64</v>
      </c>
      <c r="H3" s="11"/>
    </row>
    <row r="4" customFormat="false" ht="15" hidden="false" customHeight="true" outlineLevel="0" collapsed="false">
      <c r="A4" s="11" t="s">
        <v>60</v>
      </c>
      <c r="B4" s="11" t="s">
        <v>46</v>
      </c>
      <c r="C4" s="11" t="n">
        <v>8</v>
      </c>
      <c r="D4" s="11" t="n">
        <v>5</v>
      </c>
      <c r="E4" s="11" t="n">
        <v>1</v>
      </c>
      <c r="F4" s="11" t="n">
        <v>2</v>
      </c>
      <c r="G4" s="12" t="s">
        <v>64</v>
      </c>
      <c r="H4" s="11"/>
    </row>
    <row r="5" customFormat="false" ht="15" hidden="false" customHeight="true" outlineLevel="0" collapsed="false">
      <c r="A5" s="11" t="s">
        <v>1435</v>
      </c>
      <c r="B5" s="11" t="s">
        <v>46</v>
      </c>
      <c r="C5" s="11" t="n">
        <v>0</v>
      </c>
      <c r="D5" s="11" t="n">
        <v>0</v>
      </c>
      <c r="E5" s="11" t="n">
        <v>0</v>
      </c>
      <c r="F5" s="11" t="n">
        <v>0</v>
      </c>
      <c r="G5" s="13" t="s">
        <v>112</v>
      </c>
      <c r="H5" s="11"/>
    </row>
    <row r="6" customFormat="false" ht="15" hidden="false" customHeight="true" outlineLevel="0" collapsed="false">
      <c r="A6" s="11" t="s">
        <v>81</v>
      </c>
      <c r="B6" s="11" t="s">
        <v>46</v>
      </c>
      <c r="C6" s="11" t="n">
        <v>9</v>
      </c>
      <c r="D6" s="11" t="n">
        <v>9</v>
      </c>
      <c r="E6" s="11" t="n">
        <v>0</v>
      </c>
      <c r="F6" s="11" t="n">
        <v>0</v>
      </c>
      <c r="G6" s="12" t="s">
        <v>64</v>
      </c>
      <c r="H6" s="11"/>
    </row>
    <row r="7" customFormat="false" ht="15" hidden="false" customHeight="true" outlineLevel="0" collapsed="false">
      <c r="A7" s="11" t="s">
        <v>117</v>
      </c>
      <c r="B7" s="11" t="s">
        <v>46</v>
      </c>
      <c r="C7" s="11" t="n">
        <v>1</v>
      </c>
      <c r="D7" s="11" t="n">
        <v>0</v>
      </c>
      <c r="E7" s="11" t="n">
        <v>1</v>
      </c>
      <c r="F7" s="11" t="n">
        <v>0</v>
      </c>
      <c r="G7" s="12" t="s">
        <v>64</v>
      </c>
      <c r="H7" s="11"/>
    </row>
    <row r="8" customFormat="false" ht="15" hidden="false" customHeight="true" outlineLevel="0" collapsed="false">
      <c r="A8" s="11" t="s">
        <v>123</v>
      </c>
      <c r="B8" s="11" t="s">
        <v>1436</v>
      </c>
      <c r="C8" s="11" t="n">
        <v>5</v>
      </c>
      <c r="D8" s="11" t="n">
        <v>1</v>
      </c>
      <c r="E8" s="11" t="n">
        <v>4</v>
      </c>
      <c r="F8" s="11" t="n">
        <v>0</v>
      </c>
      <c r="G8" s="12" t="s">
        <v>64</v>
      </c>
      <c r="H8" s="11"/>
    </row>
    <row r="9" customFormat="false" ht="15" hidden="false" customHeight="true" outlineLevel="0" collapsed="false">
      <c r="A9" s="11" t="s">
        <v>146</v>
      </c>
      <c r="B9" s="11" t="s">
        <v>46</v>
      </c>
      <c r="C9" s="11" t="n">
        <v>1</v>
      </c>
      <c r="D9" s="11" t="n">
        <v>0</v>
      </c>
      <c r="E9" s="11" t="n">
        <v>1</v>
      </c>
      <c r="F9" s="11" t="n">
        <v>0</v>
      </c>
      <c r="G9" s="12" t="s">
        <v>64</v>
      </c>
      <c r="H9" s="11"/>
    </row>
    <row r="10" customFormat="false" ht="15" hidden="false" customHeight="true" outlineLevel="0" collapsed="false">
      <c r="A10" s="11" t="s">
        <v>159</v>
      </c>
      <c r="B10" s="11" t="s">
        <v>46</v>
      </c>
      <c r="C10" s="11" t="n">
        <v>4</v>
      </c>
      <c r="D10" s="11" t="n">
        <v>4</v>
      </c>
      <c r="E10" s="11" t="n">
        <v>0</v>
      </c>
      <c r="F10" s="11" t="n">
        <v>0</v>
      </c>
      <c r="G10" s="12" t="s">
        <v>64</v>
      </c>
      <c r="H10" s="11"/>
    </row>
    <row r="11" customFormat="false" ht="15" hidden="false" customHeight="true" outlineLevel="0" collapsed="false">
      <c r="A11" s="11" t="s">
        <v>176</v>
      </c>
      <c r="B11" s="11" t="s">
        <v>46</v>
      </c>
      <c r="C11" s="11" t="n">
        <v>1</v>
      </c>
      <c r="D11" s="11" t="n">
        <v>0</v>
      </c>
      <c r="E11" s="11" t="n">
        <v>0</v>
      </c>
      <c r="F11" s="11" t="n">
        <v>1</v>
      </c>
      <c r="G11" s="12" t="s">
        <v>64</v>
      </c>
      <c r="H11" s="11"/>
    </row>
    <row r="12" customFormat="false" ht="15" hidden="false" customHeight="true" outlineLevel="0" collapsed="false">
      <c r="A12" s="11" t="s">
        <v>1437</v>
      </c>
      <c r="B12" s="11" t="s">
        <v>46</v>
      </c>
      <c r="C12" s="11" t="n">
        <v>0</v>
      </c>
      <c r="D12" s="11" t="n">
        <v>0</v>
      </c>
      <c r="E12" s="11" t="n">
        <v>0</v>
      </c>
      <c r="F12" s="11" t="n">
        <v>0</v>
      </c>
      <c r="G12" s="13" t="s">
        <v>112</v>
      </c>
      <c r="H12" s="11"/>
    </row>
    <row r="13" customFormat="false" ht="15" hidden="false" customHeight="true" outlineLevel="0" collapsed="false">
      <c r="A13" s="11" t="s">
        <v>1438</v>
      </c>
      <c r="B13" s="11" t="s">
        <v>46</v>
      </c>
      <c r="C13" s="11" t="n">
        <v>0</v>
      </c>
      <c r="D13" s="11" t="n">
        <v>0</v>
      </c>
      <c r="E13" s="11" t="n">
        <v>0</v>
      </c>
      <c r="F13" s="11" t="n">
        <v>0</v>
      </c>
      <c r="G13" s="13" t="s">
        <v>112</v>
      </c>
      <c r="H13" s="11"/>
    </row>
    <row r="14" customFormat="false" ht="15" hidden="false" customHeight="true" outlineLevel="0" collapsed="false">
      <c r="A14" s="11" t="s">
        <v>181</v>
      </c>
      <c r="B14" s="11" t="s">
        <v>46</v>
      </c>
      <c r="C14" s="11" t="n">
        <v>1</v>
      </c>
      <c r="D14" s="11" t="n">
        <v>1</v>
      </c>
      <c r="E14" s="11" t="n">
        <v>0</v>
      </c>
      <c r="F14" s="11" t="n">
        <v>0</v>
      </c>
      <c r="G14" s="12" t="s">
        <v>64</v>
      </c>
      <c r="H14" s="11"/>
    </row>
    <row r="15" customFormat="false" ht="15" hidden="false" customHeight="true" outlineLevel="0" collapsed="false">
      <c r="A15" s="11" t="s">
        <v>188</v>
      </c>
      <c r="B15" s="11" t="s">
        <v>46</v>
      </c>
      <c r="C15" s="11" t="n">
        <v>1</v>
      </c>
      <c r="D15" s="11" t="n">
        <v>1</v>
      </c>
      <c r="E15" s="11" t="n">
        <v>0</v>
      </c>
      <c r="F15" s="11" t="n">
        <v>0</v>
      </c>
      <c r="G15" s="12" t="s">
        <v>64</v>
      </c>
      <c r="H15" s="11"/>
    </row>
    <row r="16" customFormat="false" ht="15" hidden="false" customHeight="true" outlineLevel="0" collapsed="false">
      <c r="A16" s="11" t="s">
        <v>194</v>
      </c>
      <c r="B16" s="11" t="s">
        <v>46</v>
      </c>
      <c r="C16" s="11" t="n">
        <v>3</v>
      </c>
      <c r="D16" s="11" t="n">
        <v>2</v>
      </c>
      <c r="E16" s="11" t="n">
        <v>1</v>
      </c>
      <c r="F16" s="11" t="n">
        <v>0</v>
      </c>
      <c r="G16" s="12" t="s">
        <v>64</v>
      </c>
      <c r="H16" s="11"/>
    </row>
    <row r="17" customFormat="false" ht="15" hidden="false" customHeight="true" outlineLevel="0" collapsed="false">
      <c r="A17" s="11" t="s">
        <v>207</v>
      </c>
      <c r="B17" s="11" t="s">
        <v>46</v>
      </c>
      <c r="C17" s="11" t="n">
        <v>1</v>
      </c>
      <c r="D17" s="11" t="n">
        <v>0</v>
      </c>
      <c r="E17" s="11" t="n">
        <v>0</v>
      </c>
      <c r="F17" s="11" t="n">
        <v>1</v>
      </c>
      <c r="G17" s="12" t="s">
        <v>64</v>
      </c>
      <c r="H17" s="11"/>
    </row>
    <row r="18" customFormat="false" ht="15" hidden="false" customHeight="true" outlineLevel="0" collapsed="false">
      <c r="A18" s="11" t="s">
        <v>213</v>
      </c>
      <c r="B18" s="11" t="s">
        <v>46</v>
      </c>
      <c r="C18" s="11" t="n">
        <v>3</v>
      </c>
      <c r="D18" s="11" t="n">
        <v>0</v>
      </c>
      <c r="E18" s="11" t="n">
        <v>0</v>
      </c>
      <c r="F18" s="11" t="n">
        <v>3</v>
      </c>
      <c r="G18" s="12" t="s">
        <v>64</v>
      </c>
      <c r="H18" s="11"/>
    </row>
    <row r="19" customFormat="false" ht="15" hidden="false" customHeight="true" outlineLevel="0" collapsed="false">
      <c r="A19" s="11" t="s">
        <v>223</v>
      </c>
      <c r="B19" s="11" t="s">
        <v>46</v>
      </c>
      <c r="C19" s="11" t="n">
        <v>2</v>
      </c>
      <c r="D19" s="11" t="n">
        <v>2</v>
      </c>
      <c r="E19" s="11" t="n">
        <v>0</v>
      </c>
      <c r="F19" s="11" t="n">
        <v>0</v>
      </c>
      <c r="G19" s="12" t="s">
        <v>64</v>
      </c>
      <c r="H19" s="11"/>
    </row>
    <row r="20" customFormat="false" ht="15" hidden="false" customHeight="true" outlineLevel="0" collapsed="false">
      <c r="A20" s="11" t="s">
        <v>332</v>
      </c>
      <c r="B20" s="11" t="s">
        <v>46</v>
      </c>
      <c r="C20" s="11" t="n">
        <v>3</v>
      </c>
      <c r="D20" s="11" t="n">
        <v>2</v>
      </c>
      <c r="E20" s="11" t="n">
        <v>1</v>
      </c>
      <c r="F20" s="11" t="n">
        <v>0</v>
      </c>
      <c r="G20" s="12" t="s">
        <v>64</v>
      </c>
      <c r="H20" s="11"/>
    </row>
    <row r="21" customFormat="false" ht="15" hidden="false" customHeight="true" outlineLevel="0" collapsed="false">
      <c r="A21" s="11" t="s">
        <v>231</v>
      </c>
      <c r="B21" s="11" t="s">
        <v>46</v>
      </c>
      <c r="C21" s="11" t="n">
        <v>5</v>
      </c>
      <c r="D21" s="11" t="n">
        <v>2</v>
      </c>
      <c r="E21" s="11" t="n">
        <v>3</v>
      </c>
      <c r="F21" s="11" t="n">
        <v>0</v>
      </c>
      <c r="G21" s="12" t="s">
        <v>64</v>
      </c>
      <c r="H21" s="11"/>
    </row>
    <row r="22" customFormat="false" ht="15" hidden="false" customHeight="true" outlineLevel="0" collapsed="false">
      <c r="A22" s="11" t="s">
        <v>251</v>
      </c>
      <c r="B22" s="11" t="s">
        <v>46</v>
      </c>
      <c r="C22" s="11" t="n">
        <v>1</v>
      </c>
      <c r="D22" s="11" t="n">
        <v>1</v>
      </c>
      <c r="E22" s="11" t="n">
        <v>0</v>
      </c>
      <c r="F22" s="11" t="n">
        <v>0</v>
      </c>
      <c r="G22" s="12" t="s">
        <v>64</v>
      </c>
      <c r="H22" s="11"/>
    </row>
    <row r="23" customFormat="false" ht="15" hidden="false" customHeight="true" outlineLevel="0" collapsed="false">
      <c r="A23" s="11" t="s">
        <v>257</v>
      </c>
      <c r="B23" s="11" t="s">
        <v>46</v>
      </c>
      <c r="C23" s="11" t="n">
        <v>3</v>
      </c>
      <c r="D23" s="11" t="n">
        <v>2</v>
      </c>
      <c r="E23" s="11" t="n">
        <v>1</v>
      </c>
      <c r="F23" s="11" t="n">
        <v>0</v>
      </c>
      <c r="G23" s="12" t="s">
        <v>64</v>
      </c>
      <c r="H23" s="11"/>
    </row>
    <row r="24" customFormat="false" ht="15" hidden="false" customHeight="true" outlineLevel="0" collapsed="false">
      <c r="A24" s="11" t="s">
        <v>269</v>
      </c>
      <c r="B24" s="11" t="s">
        <v>46</v>
      </c>
      <c r="C24" s="11" t="n">
        <v>8</v>
      </c>
      <c r="D24" s="11" t="n">
        <v>8</v>
      </c>
      <c r="E24" s="11" t="n">
        <v>0</v>
      </c>
      <c r="F24" s="11" t="n">
        <v>0</v>
      </c>
      <c r="G24" s="12" t="s">
        <v>64</v>
      </c>
      <c r="H24" s="11"/>
    </row>
    <row r="25" customFormat="false" ht="15" hidden="false" customHeight="true" outlineLevel="0" collapsed="false">
      <c r="A25" s="11" t="s">
        <v>291</v>
      </c>
      <c r="B25" s="11" t="s">
        <v>46</v>
      </c>
      <c r="C25" s="11" t="n">
        <v>3</v>
      </c>
      <c r="D25" s="11" t="n">
        <v>1</v>
      </c>
      <c r="E25" s="11" t="n">
        <v>2</v>
      </c>
      <c r="F25" s="11" t="n">
        <v>0</v>
      </c>
      <c r="G25" s="12" t="s">
        <v>64</v>
      </c>
      <c r="H25" s="11"/>
    </row>
    <row r="26" customFormat="false" ht="15" hidden="false" customHeight="true" outlineLevel="0" collapsed="false">
      <c r="A26" s="11" t="s">
        <v>301</v>
      </c>
      <c r="B26" s="11" t="s">
        <v>46</v>
      </c>
      <c r="C26" s="11" t="n">
        <v>1</v>
      </c>
      <c r="D26" s="11" t="n">
        <v>1</v>
      </c>
      <c r="E26" s="11" t="n">
        <v>0</v>
      </c>
      <c r="F26" s="11" t="n">
        <v>0</v>
      </c>
      <c r="G26" s="12" t="s">
        <v>64</v>
      </c>
      <c r="H26" s="11"/>
    </row>
    <row r="27" customFormat="false" ht="15" hidden="false" customHeight="true" outlineLevel="0" collapsed="false">
      <c r="A27" s="11" t="s">
        <v>305</v>
      </c>
      <c r="B27" s="11" t="s">
        <v>46</v>
      </c>
      <c r="C27" s="11" t="n">
        <v>4</v>
      </c>
      <c r="D27" s="11" t="n">
        <v>4</v>
      </c>
      <c r="E27" s="11" t="n">
        <v>0</v>
      </c>
      <c r="F27" s="11" t="n">
        <v>0</v>
      </c>
      <c r="G27" s="12" t="s">
        <v>64</v>
      </c>
      <c r="H27" s="11"/>
    </row>
    <row r="28" customFormat="false" ht="15" hidden="false" customHeight="true" outlineLevel="0" collapsed="false">
      <c r="A28" s="11" t="s">
        <v>320</v>
      </c>
      <c r="B28" s="11" t="s">
        <v>46</v>
      </c>
      <c r="C28" s="11" t="n">
        <v>1</v>
      </c>
      <c r="D28" s="11" t="n">
        <v>1</v>
      </c>
      <c r="E28" s="11" t="n">
        <v>0</v>
      </c>
      <c r="F28" s="11" t="n">
        <v>0</v>
      </c>
      <c r="G28" s="12" t="s">
        <v>64</v>
      </c>
      <c r="H28" s="11"/>
    </row>
    <row r="29" customFormat="false" ht="15" hidden="false" customHeight="true" outlineLevel="0" collapsed="false">
      <c r="A29" s="11" t="s">
        <v>326</v>
      </c>
      <c r="B29" s="11" t="s">
        <v>46</v>
      </c>
      <c r="C29" s="11" t="n">
        <v>1</v>
      </c>
      <c r="D29" s="11" t="n">
        <v>1</v>
      </c>
      <c r="E29" s="11" t="n">
        <v>0</v>
      </c>
      <c r="F29" s="11" t="n">
        <v>0</v>
      </c>
      <c r="G29" s="12" t="s">
        <v>64</v>
      </c>
      <c r="H29" s="11"/>
    </row>
    <row r="30" customFormat="false" ht="15" hidden="false" customHeight="true" outlineLevel="0" collapsed="false">
      <c r="A30" s="11" t="s">
        <v>345</v>
      </c>
      <c r="B30" s="11" t="s">
        <v>46</v>
      </c>
      <c r="C30" s="11" t="n">
        <v>5</v>
      </c>
      <c r="D30" s="11" t="n">
        <v>5</v>
      </c>
      <c r="E30" s="11" t="n">
        <v>0</v>
      </c>
      <c r="F30" s="11" t="n">
        <v>0</v>
      </c>
      <c r="G30" s="12" t="s">
        <v>64</v>
      </c>
      <c r="H30" s="11"/>
    </row>
    <row r="31" customFormat="false" ht="15" hidden="false" customHeight="true" outlineLevel="0" collapsed="false">
      <c r="A31" s="11" t="s">
        <v>1163</v>
      </c>
      <c r="B31" s="11" t="s">
        <v>46</v>
      </c>
      <c r="C31" s="11" t="n">
        <v>0</v>
      </c>
      <c r="D31" s="11" t="n">
        <v>0</v>
      </c>
      <c r="E31" s="11" t="n">
        <v>0</v>
      </c>
      <c r="F31" s="11" t="n">
        <v>0</v>
      </c>
      <c r="G31" s="13" t="s">
        <v>112</v>
      </c>
      <c r="H31" s="11"/>
    </row>
    <row r="32" customFormat="false" ht="15" hidden="false" customHeight="true" outlineLevel="0" collapsed="false">
      <c r="A32" s="11" t="s">
        <v>365</v>
      </c>
      <c r="B32" s="11" t="s">
        <v>46</v>
      </c>
      <c r="C32" s="11" t="n">
        <v>1</v>
      </c>
      <c r="D32" s="11" t="n">
        <v>0</v>
      </c>
      <c r="E32" s="11" t="n">
        <v>0</v>
      </c>
      <c r="F32" s="11" t="n">
        <v>0</v>
      </c>
      <c r="G32" s="12" t="s">
        <v>64</v>
      </c>
      <c r="H32" s="11"/>
    </row>
    <row r="33" customFormat="false" ht="15" hidden="false" customHeight="true" outlineLevel="0" collapsed="false">
      <c r="A33" s="11" t="s">
        <v>382</v>
      </c>
      <c r="B33" s="11" t="s">
        <v>46</v>
      </c>
      <c r="C33" s="11" t="n">
        <v>3</v>
      </c>
      <c r="D33" s="11" t="n">
        <v>1</v>
      </c>
      <c r="E33" s="11" t="n">
        <v>2</v>
      </c>
      <c r="F33" s="11" t="n">
        <v>0</v>
      </c>
      <c r="G33" s="12" t="s">
        <v>64</v>
      </c>
      <c r="H33" s="11"/>
    </row>
    <row r="34" customFormat="false" ht="15" hidden="false" customHeight="true" outlineLevel="0" collapsed="false">
      <c r="A34" s="11" t="s">
        <v>390</v>
      </c>
      <c r="B34" s="11" t="s">
        <v>46</v>
      </c>
      <c r="C34" s="11" t="n">
        <v>4</v>
      </c>
      <c r="D34" s="11" t="n">
        <v>2</v>
      </c>
      <c r="E34" s="11" t="n">
        <v>2</v>
      </c>
      <c r="F34" s="11" t="n">
        <v>0</v>
      </c>
      <c r="G34" s="12" t="s">
        <v>64</v>
      </c>
      <c r="H34" s="11"/>
    </row>
    <row r="35" customFormat="false" ht="15" hidden="false" customHeight="true" outlineLevel="0" collapsed="false">
      <c r="A35" s="11" t="s">
        <v>407</v>
      </c>
      <c r="B35" s="11" t="s">
        <v>46</v>
      </c>
      <c r="C35" s="11" t="n">
        <v>1</v>
      </c>
      <c r="D35" s="11" t="n">
        <v>1</v>
      </c>
      <c r="E35" s="11" t="n">
        <v>0</v>
      </c>
      <c r="F35" s="11" t="n">
        <v>0</v>
      </c>
      <c r="G35" s="12" t="s">
        <v>64</v>
      </c>
      <c r="H35" s="11"/>
    </row>
    <row r="36" customFormat="false" ht="15" hidden="false" customHeight="true" outlineLevel="0" collapsed="false">
      <c r="A36" s="11" t="s">
        <v>415</v>
      </c>
      <c r="B36" s="11" t="s">
        <v>414</v>
      </c>
      <c r="C36" s="11" t="n">
        <v>1</v>
      </c>
      <c r="D36" s="11" t="n">
        <v>1</v>
      </c>
      <c r="E36" s="11" t="n">
        <v>0</v>
      </c>
      <c r="F36" s="11" t="n">
        <v>0</v>
      </c>
      <c r="G36" s="12" t="s">
        <v>64</v>
      </c>
      <c r="H36" s="11"/>
    </row>
    <row r="37" customFormat="false" ht="15" hidden="false" customHeight="true" outlineLevel="0" collapsed="false">
      <c r="A37" s="11" t="s">
        <v>422</v>
      </c>
      <c r="B37" s="11" t="s">
        <v>46</v>
      </c>
      <c r="C37" s="11" t="n">
        <v>5</v>
      </c>
      <c r="D37" s="11" t="n">
        <v>2</v>
      </c>
      <c r="E37" s="11" t="n">
        <v>1</v>
      </c>
      <c r="F37" s="11" t="n">
        <v>2</v>
      </c>
      <c r="G37" s="12" t="s">
        <v>64</v>
      </c>
      <c r="H37" s="11"/>
    </row>
    <row r="38" customFormat="false" ht="15" hidden="false" customHeight="true" outlineLevel="0" collapsed="false">
      <c r="A38" s="11" t="s">
        <v>440</v>
      </c>
      <c r="B38" s="11" t="s">
        <v>46</v>
      </c>
      <c r="C38" s="11" t="n">
        <v>1</v>
      </c>
      <c r="D38" s="11" t="n">
        <v>0</v>
      </c>
      <c r="E38" s="11" t="n">
        <v>0</v>
      </c>
      <c r="F38" s="11" t="n">
        <v>1</v>
      </c>
      <c r="G38" s="12" t="s">
        <v>64</v>
      </c>
      <c r="H38" s="11"/>
    </row>
    <row r="39" customFormat="false" ht="15" hidden="false" customHeight="true" outlineLevel="0" collapsed="false">
      <c r="A39" s="11" t="s">
        <v>446</v>
      </c>
      <c r="B39" s="11" t="s">
        <v>46</v>
      </c>
      <c r="C39" s="11" t="n">
        <v>2</v>
      </c>
      <c r="D39" s="11" t="n">
        <v>1</v>
      </c>
      <c r="E39" s="11" t="n">
        <v>1</v>
      </c>
      <c r="F39" s="11" t="n">
        <v>0</v>
      </c>
      <c r="G39" s="12" t="s">
        <v>64</v>
      </c>
      <c r="H39" s="11"/>
    </row>
    <row r="40" customFormat="false" ht="15" hidden="false" customHeight="true" outlineLevel="0" collapsed="false">
      <c r="A40" s="11" t="s">
        <v>456</v>
      </c>
      <c r="B40" s="11" t="s">
        <v>46</v>
      </c>
      <c r="C40" s="11" t="n">
        <v>2</v>
      </c>
      <c r="D40" s="11" t="n">
        <v>1</v>
      </c>
      <c r="E40" s="11" t="n">
        <v>1</v>
      </c>
      <c r="F40" s="11" t="n">
        <v>0</v>
      </c>
      <c r="G40" s="12" t="s">
        <v>64</v>
      </c>
      <c r="H40" s="11"/>
    </row>
    <row r="41" customFormat="false" ht="15" hidden="false" customHeight="true" outlineLevel="0" collapsed="false">
      <c r="A41" s="11" t="s">
        <v>469</v>
      </c>
      <c r="B41" s="11" t="s">
        <v>46</v>
      </c>
      <c r="C41" s="11" t="n">
        <v>2</v>
      </c>
      <c r="D41" s="11" t="n">
        <v>0</v>
      </c>
      <c r="E41" s="11" t="n">
        <v>1</v>
      </c>
      <c r="F41" s="11" t="n">
        <v>1</v>
      </c>
      <c r="G41" s="12" t="s">
        <v>64</v>
      </c>
      <c r="H41" s="11"/>
    </row>
    <row r="42" customFormat="false" ht="15" hidden="false" customHeight="true" outlineLevel="0" collapsed="false">
      <c r="A42" s="11" t="s">
        <v>1439</v>
      </c>
      <c r="B42" s="11" t="s">
        <v>46</v>
      </c>
      <c r="C42" s="11" t="n">
        <v>0</v>
      </c>
      <c r="D42" s="11" t="n">
        <v>0</v>
      </c>
      <c r="E42" s="11" t="n">
        <v>0</v>
      </c>
      <c r="F42" s="11" t="n">
        <v>0</v>
      </c>
      <c r="G42" s="13" t="s">
        <v>112</v>
      </c>
      <c r="H42" s="11"/>
    </row>
    <row r="43" customFormat="false" ht="15" hidden="false" customHeight="true" outlineLevel="0" collapsed="false">
      <c r="A43" s="11" t="s">
        <v>476</v>
      </c>
      <c r="B43" s="11" t="s">
        <v>46</v>
      </c>
      <c r="C43" s="11" t="n">
        <v>4</v>
      </c>
      <c r="D43" s="11" t="n">
        <v>3</v>
      </c>
      <c r="E43" s="11" t="n">
        <v>1</v>
      </c>
      <c r="F43" s="11" t="n">
        <v>0</v>
      </c>
      <c r="G43" s="12" t="s">
        <v>64</v>
      </c>
      <c r="H43" s="11"/>
    </row>
    <row r="44" customFormat="false" ht="15" hidden="false" customHeight="true" outlineLevel="0" collapsed="false">
      <c r="A44" s="11" t="s">
        <v>487</v>
      </c>
      <c r="B44" s="11" t="s">
        <v>46</v>
      </c>
      <c r="C44" s="11" t="n">
        <v>6</v>
      </c>
      <c r="D44" s="11" t="n">
        <v>5</v>
      </c>
      <c r="E44" s="11" t="n">
        <v>1</v>
      </c>
      <c r="F44" s="11" t="n">
        <v>0</v>
      </c>
      <c r="G44" s="12" t="s">
        <v>64</v>
      </c>
      <c r="H44" s="11"/>
    </row>
    <row r="45" customFormat="false" ht="15" hidden="false" customHeight="true" outlineLevel="0" collapsed="false">
      <c r="A45" s="11" t="s">
        <v>509</v>
      </c>
      <c r="B45" s="11" t="s">
        <v>46</v>
      </c>
      <c r="C45" s="11" t="n">
        <v>5</v>
      </c>
      <c r="D45" s="11" t="n">
        <v>3</v>
      </c>
      <c r="E45" s="11" t="n">
        <v>2</v>
      </c>
      <c r="F45" s="11" t="n">
        <v>0</v>
      </c>
      <c r="G45" s="12" t="s">
        <v>64</v>
      </c>
      <c r="H45" s="11"/>
    </row>
    <row r="46" customFormat="false" ht="15" hidden="false" customHeight="true" outlineLevel="0" collapsed="false">
      <c r="A46" s="11" t="s">
        <v>561</v>
      </c>
      <c r="B46" s="11" t="s">
        <v>46</v>
      </c>
      <c r="C46" s="11" t="n">
        <v>2</v>
      </c>
      <c r="D46" s="11" t="n">
        <v>2</v>
      </c>
      <c r="E46" s="11" t="n">
        <v>0</v>
      </c>
      <c r="F46" s="11" t="n">
        <v>0</v>
      </c>
      <c r="G46" s="12" t="s">
        <v>64</v>
      </c>
      <c r="H46" s="11"/>
    </row>
    <row r="47" customFormat="false" ht="15" hidden="false" customHeight="true" outlineLevel="0" collapsed="false">
      <c r="A47" s="11" t="s">
        <v>529</v>
      </c>
      <c r="B47" s="11" t="s">
        <v>46</v>
      </c>
      <c r="C47" s="11" t="n">
        <v>1</v>
      </c>
      <c r="D47" s="11" t="n">
        <v>1</v>
      </c>
      <c r="E47" s="11" t="n">
        <v>0</v>
      </c>
      <c r="F47" s="11" t="n">
        <v>0</v>
      </c>
      <c r="G47" s="12" t="s">
        <v>64</v>
      </c>
      <c r="H47" s="11"/>
    </row>
    <row r="48" customFormat="false" ht="15" hidden="false" customHeight="true" outlineLevel="0" collapsed="false">
      <c r="A48" s="11" t="s">
        <v>535</v>
      </c>
      <c r="B48" s="11" t="s">
        <v>46</v>
      </c>
      <c r="C48" s="11" t="n">
        <v>8</v>
      </c>
      <c r="D48" s="11" t="n">
        <v>6</v>
      </c>
      <c r="E48" s="11" t="n">
        <v>2</v>
      </c>
      <c r="F48" s="11" t="n">
        <v>0</v>
      </c>
      <c r="G48" s="12" t="s">
        <v>64</v>
      </c>
      <c r="H48" s="11"/>
    </row>
    <row r="49" customFormat="false" ht="15" hidden="false" customHeight="true" outlineLevel="0" collapsed="false">
      <c r="A49" s="11" t="s">
        <v>548</v>
      </c>
      <c r="B49" s="11" t="s">
        <v>1436</v>
      </c>
      <c r="C49" s="11" t="n">
        <v>3</v>
      </c>
      <c r="D49" s="11" t="n">
        <v>0</v>
      </c>
      <c r="E49" s="11" t="n">
        <v>3</v>
      </c>
      <c r="F49" s="11" t="n">
        <v>0</v>
      </c>
      <c r="G49" s="12" t="s">
        <v>64</v>
      </c>
      <c r="H49" s="11"/>
    </row>
    <row r="50" customFormat="false" ht="15" hidden="false" customHeight="true" outlineLevel="0" collapsed="false">
      <c r="A50" s="11" t="s">
        <v>569</v>
      </c>
      <c r="B50" s="11" t="s">
        <v>46</v>
      </c>
      <c r="C50" s="11" t="n">
        <v>5</v>
      </c>
      <c r="D50" s="11" t="n">
        <v>4</v>
      </c>
      <c r="E50" s="11" t="n">
        <v>1</v>
      </c>
      <c r="F50" s="11" t="n">
        <v>0</v>
      </c>
      <c r="G50" s="12" t="s">
        <v>64</v>
      </c>
      <c r="H50" s="11"/>
    </row>
    <row r="51" customFormat="false" ht="15" hidden="false" customHeight="true" outlineLevel="0" collapsed="false">
      <c r="A51" s="11" t="s">
        <v>587</v>
      </c>
      <c r="B51" s="11" t="s">
        <v>46</v>
      </c>
      <c r="C51" s="11" t="n">
        <v>2</v>
      </c>
      <c r="D51" s="11" t="n">
        <v>1</v>
      </c>
      <c r="E51" s="11" t="n">
        <v>0</v>
      </c>
      <c r="F51" s="11" t="n">
        <v>1</v>
      </c>
      <c r="G51" s="12" t="s">
        <v>64</v>
      </c>
      <c r="H51" s="11"/>
    </row>
    <row r="52" customFormat="false" ht="15" hidden="false" customHeight="true" outlineLevel="0" collapsed="false">
      <c r="A52" s="11" t="s">
        <v>597</v>
      </c>
      <c r="B52" s="11" t="s">
        <v>46</v>
      </c>
      <c r="C52" s="11" t="n">
        <v>1</v>
      </c>
      <c r="D52" s="11" t="n">
        <v>1</v>
      </c>
      <c r="E52" s="11" t="n">
        <v>0</v>
      </c>
      <c r="F52" s="11" t="n">
        <v>0</v>
      </c>
      <c r="G52" s="12" t="s">
        <v>64</v>
      </c>
      <c r="H52" s="11"/>
    </row>
    <row r="53" customFormat="false" ht="15" hidden="false" customHeight="true" outlineLevel="0" collapsed="false">
      <c r="A53" s="11" t="s">
        <v>602</v>
      </c>
      <c r="B53" s="11" t="s">
        <v>46</v>
      </c>
      <c r="C53" s="11" t="n">
        <v>1</v>
      </c>
      <c r="D53" s="11" t="n">
        <v>1</v>
      </c>
      <c r="E53" s="11" t="n">
        <v>0</v>
      </c>
      <c r="F53" s="11" t="n">
        <v>0</v>
      </c>
      <c r="G53" s="12" t="s">
        <v>64</v>
      </c>
      <c r="H53" s="11"/>
    </row>
    <row r="54" customFormat="false" ht="15" hidden="false" customHeight="true" outlineLevel="0" collapsed="false">
      <c r="A54" s="11" t="s">
        <v>608</v>
      </c>
      <c r="B54" s="11" t="s">
        <v>46</v>
      </c>
      <c r="C54" s="11" t="n">
        <v>1</v>
      </c>
      <c r="D54" s="11" t="n">
        <v>0</v>
      </c>
      <c r="E54" s="11" t="n">
        <v>1</v>
      </c>
      <c r="F54" s="11" t="n">
        <v>0</v>
      </c>
      <c r="G54" s="12" t="s">
        <v>64</v>
      </c>
      <c r="H54" s="11"/>
    </row>
    <row r="55" customFormat="false" ht="15" hidden="false" customHeight="true" outlineLevel="0" collapsed="false">
      <c r="A55" s="11" t="s">
        <v>615</v>
      </c>
      <c r="B55" s="11" t="s">
        <v>46</v>
      </c>
      <c r="C55" s="11" t="n">
        <v>4</v>
      </c>
      <c r="D55" s="11" t="n">
        <v>1</v>
      </c>
      <c r="E55" s="11" t="n">
        <v>3</v>
      </c>
      <c r="F55" s="11" t="n">
        <v>0</v>
      </c>
      <c r="G55" s="12" t="s">
        <v>64</v>
      </c>
      <c r="H55" s="11"/>
    </row>
    <row r="56" customFormat="false" ht="15" hidden="false" customHeight="true" outlineLevel="0" collapsed="false">
      <c r="A56" s="11" t="s">
        <v>631</v>
      </c>
      <c r="B56" s="11" t="s">
        <v>46</v>
      </c>
      <c r="C56" s="11" t="n">
        <v>1</v>
      </c>
      <c r="D56" s="11" t="n">
        <v>1</v>
      </c>
      <c r="E56" s="11" t="n">
        <v>0</v>
      </c>
      <c r="F56" s="11" t="n">
        <v>0</v>
      </c>
      <c r="G56" s="12" t="s">
        <v>64</v>
      </c>
      <c r="H56" s="11"/>
    </row>
    <row r="57" customFormat="false" ht="15" hidden="false" customHeight="true" outlineLevel="0" collapsed="false">
      <c r="A57" s="11" t="s">
        <v>638</v>
      </c>
      <c r="B57" s="11" t="s">
        <v>46</v>
      </c>
      <c r="C57" s="11" t="n">
        <v>1</v>
      </c>
      <c r="D57" s="11" t="n">
        <v>0</v>
      </c>
      <c r="E57" s="11" t="n">
        <v>0</v>
      </c>
      <c r="F57" s="11" t="n">
        <v>1</v>
      </c>
      <c r="G57" s="12" t="s">
        <v>64</v>
      </c>
      <c r="H57" s="11"/>
    </row>
    <row r="58" customFormat="false" ht="15" hidden="false" customHeight="true" outlineLevel="0" collapsed="false">
      <c r="A58" s="11" t="s">
        <v>648</v>
      </c>
      <c r="B58" s="11" t="s">
        <v>46</v>
      </c>
      <c r="C58" s="11" t="n">
        <v>1</v>
      </c>
      <c r="D58" s="11" t="n">
        <v>0</v>
      </c>
      <c r="E58" s="11" t="n">
        <v>1</v>
      </c>
      <c r="F58" s="11" t="n">
        <v>0</v>
      </c>
      <c r="G58" s="12" t="s">
        <v>64</v>
      </c>
      <c r="H58" s="11"/>
    </row>
    <row r="59" customFormat="false" ht="15" hidden="false" customHeight="true" outlineLevel="0" collapsed="false">
      <c r="A59" s="11" t="s">
        <v>652</v>
      </c>
      <c r="B59" s="11" t="s">
        <v>46</v>
      </c>
      <c r="C59" s="11" t="n">
        <v>1</v>
      </c>
      <c r="D59" s="11" t="n">
        <v>0</v>
      </c>
      <c r="E59" s="11" t="n">
        <v>1</v>
      </c>
      <c r="F59" s="11" t="n">
        <v>0</v>
      </c>
      <c r="G59" s="12" t="s">
        <v>64</v>
      </c>
      <c r="H59" s="11"/>
    </row>
    <row r="60" customFormat="false" ht="15" hidden="false" customHeight="true" outlineLevel="0" collapsed="false">
      <c r="A60" s="11" t="s">
        <v>691</v>
      </c>
      <c r="B60" s="11" t="s">
        <v>46</v>
      </c>
      <c r="C60" s="11" t="n">
        <v>1</v>
      </c>
      <c r="D60" s="11" t="n">
        <v>1</v>
      </c>
      <c r="E60" s="11" t="n">
        <v>0</v>
      </c>
      <c r="F60" s="11" t="n">
        <v>0</v>
      </c>
      <c r="G60" s="12" t="s">
        <v>64</v>
      </c>
      <c r="H60" s="11"/>
    </row>
    <row r="61" customFormat="false" ht="15" hidden="false" customHeight="true" outlineLevel="0" collapsed="false">
      <c r="A61" s="11" t="s">
        <v>658</v>
      </c>
      <c r="B61" s="11" t="s">
        <v>46</v>
      </c>
      <c r="C61" s="11" t="n">
        <v>1</v>
      </c>
      <c r="D61" s="11" t="n">
        <v>1</v>
      </c>
      <c r="E61" s="11" t="n">
        <v>0</v>
      </c>
      <c r="F61" s="11" t="n">
        <v>0</v>
      </c>
      <c r="G61" s="12" t="s">
        <v>64</v>
      </c>
      <c r="H61" s="11"/>
    </row>
    <row r="62" customFormat="false" ht="15" hidden="false" customHeight="true" outlineLevel="0" collapsed="false">
      <c r="A62" s="11" t="s">
        <v>663</v>
      </c>
      <c r="B62" s="11" t="s">
        <v>46</v>
      </c>
      <c r="C62" s="11" t="n">
        <v>7</v>
      </c>
      <c r="D62" s="11" t="n">
        <v>5</v>
      </c>
      <c r="E62" s="11" t="n">
        <v>2</v>
      </c>
      <c r="F62" s="11" t="n">
        <v>0</v>
      </c>
      <c r="G62" s="12" t="s">
        <v>64</v>
      </c>
      <c r="H62" s="11"/>
    </row>
    <row r="63" customFormat="false" ht="15" hidden="false" customHeight="true" outlineLevel="0" collapsed="false">
      <c r="A63" s="11" t="s">
        <v>696</v>
      </c>
      <c r="B63" s="11" t="s">
        <v>46</v>
      </c>
      <c r="C63" s="11" t="n">
        <v>1</v>
      </c>
      <c r="D63" s="11" t="n">
        <v>1</v>
      </c>
      <c r="E63" s="11" t="n">
        <v>0</v>
      </c>
      <c r="F63" s="11" t="n">
        <v>0</v>
      </c>
      <c r="G63" s="12" t="s">
        <v>64</v>
      </c>
      <c r="H63" s="11"/>
    </row>
    <row r="64" customFormat="false" ht="15" hidden="false" customHeight="true" outlineLevel="0" collapsed="false">
      <c r="A64" s="11" t="s">
        <v>702</v>
      </c>
      <c r="B64" s="11" t="s">
        <v>46</v>
      </c>
      <c r="C64" s="11" t="n">
        <v>9</v>
      </c>
      <c r="D64" s="11" t="n">
        <v>1</v>
      </c>
      <c r="E64" s="11" t="n">
        <v>7</v>
      </c>
      <c r="F64" s="11" t="n">
        <v>1</v>
      </c>
      <c r="G64" s="12" t="s">
        <v>64</v>
      </c>
      <c r="H64" s="11"/>
    </row>
    <row r="65" customFormat="false" ht="15" hidden="false" customHeight="true" outlineLevel="0" collapsed="false">
      <c r="A65" s="11" t="s">
        <v>1121</v>
      </c>
      <c r="B65" s="11" t="s">
        <v>46</v>
      </c>
      <c r="C65" s="11" t="n">
        <v>0</v>
      </c>
      <c r="D65" s="11" t="n">
        <v>0</v>
      </c>
      <c r="E65" s="11" t="n">
        <v>0</v>
      </c>
      <c r="F65" s="11" t="n">
        <v>0</v>
      </c>
      <c r="G65" s="13" t="s">
        <v>112</v>
      </c>
      <c r="H65" s="11"/>
    </row>
    <row r="66" customFormat="false" ht="15" hidden="false" customHeight="true" outlineLevel="0" collapsed="false">
      <c r="A66" s="11" t="s">
        <v>737</v>
      </c>
      <c r="B66" s="11" t="s">
        <v>46</v>
      </c>
      <c r="C66" s="11" t="n">
        <v>1</v>
      </c>
      <c r="D66" s="11" t="n">
        <v>1</v>
      </c>
      <c r="E66" s="11" t="n">
        <v>0</v>
      </c>
      <c r="F66" s="11" t="n">
        <v>0</v>
      </c>
      <c r="G66" s="12" t="s">
        <v>64</v>
      </c>
      <c r="H66" s="11"/>
    </row>
    <row r="67" customFormat="false" ht="15" hidden="false" customHeight="true" outlineLevel="0" collapsed="false">
      <c r="A67" s="11" t="s">
        <v>743</v>
      </c>
      <c r="B67" s="11" t="s">
        <v>46</v>
      </c>
      <c r="C67" s="11" t="n">
        <v>1</v>
      </c>
      <c r="D67" s="11" t="n">
        <v>0</v>
      </c>
      <c r="E67" s="11" t="n">
        <v>1</v>
      </c>
      <c r="F67" s="11" t="n">
        <v>0</v>
      </c>
      <c r="G67" s="12" t="s">
        <v>64</v>
      </c>
      <c r="H67" s="11"/>
    </row>
    <row r="68" customFormat="false" ht="15" hidden="false" customHeight="true" outlineLevel="0" collapsed="false">
      <c r="A68" s="11" t="s">
        <v>765</v>
      </c>
      <c r="B68" s="11" t="s">
        <v>46</v>
      </c>
      <c r="C68" s="11" t="n">
        <v>1</v>
      </c>
      <c r="D68" s="11" t="n">
        <v>0</v>
      </c>
      <c r="E68" s="11" t="n">
        <v>1</v>
      </c>
      <c r="F68" s="11" t="n">
        <v>0</v>
      </c>
      <c r="G68" s="12" t="s">
        <v>64</v>
      </c>
      <c r="H68" s="11"/>
    </row>
    <row r="69" customFormat="false" ht="15" hidden="false" customHeight="true" outlineLevel="0" collapsed="false">
      <c r="A69" s="11" t="s">
        <v>748</v>
      </c>
      <c r="B69" s="11" t="s">
        <v>46</v>
      </c>
      <c r="C69" s="11" t="n">
        <v>4</v>
      </c>
      <c r="D69" s="11" t="n">
        <v>2</v>
      </c>
      <c r="E69" s="11" t="n">
        <v>2</v>
      </c>
      <c r="F69" s="11" t="n">
        <v>0</v>
      </c>
      <c r="G69" s="12" t="s">
        <v>64</v>
      </c>
      <c r="H69" s="11"/>
    </row>
    <row r="70" customFormat="false" ht="15" hidden="false" customHeight="true" outlineLevel="0" collapsed="false">
      <c r="A70" s="11" t="s">
        <v>771</v>
      </c>
      <c r="B70" s="11" t="s">
        <v>46</v>
      </c>
      <c r="C70" s="11" t="n">
        <v>2</v>
      </c>
      <c r="D70" s="11" t="n">
        <v>1</v>
      </c>
      <c r="E70" s="11" t="n">
        <v>1</v>
      </c>
      <c r="F70" s="11" t="n">
        <v>0</v>
      </c>
      <c r="G70" s="12" t="s">
        <v>64</v>
      </c>
      <c r="H70" s="11"/>
    </row>
    <row r="71" customFormat="false" ht="15" hidden="false" customHeight="true" outlineLevel="0" collapsed="false">
      <c r="A71" s="11" t="s">
        <v>370</v>
      </c>
      <c r="B71" s="11" t="s">
        <v>46</v>
      </c>
      <c r="C71" s="11" t="n">
        <v>3</v>
      </c>
      <c r="D71" s="11" t="n">
        <v>1</v>
      </c>
      <c r="E71" s="11" t="n">
        <v>2</v>
      </c>
      <c r="F71" s="11" t="n">
        <v>0</v>
      </c>
      <c r="G71" s="12" t="s">
        <v>64</v>
      </c>
      <c r="H71" s="11"/>
    </row>
    <row r="72" customFormat="false" ht="15" hidden="false" customHeight="true" outlineLevel="0" collapsed="false">
      <c r="A72" s="11" t="s">
        <v>644</v>
      </c>
      <c r="B72" s="11" t="s">
        <v>46</v>
      </c>
      <c r="C72" s="11" t="n">
        <v>1</v>
      </c>
      <c r="D72" s="11" t="n">
        <v>1</v>
      </c>
      <c r="E72" s="11" t="n">
        <v>0</v>
      </c>
      <c r="F72" s="11" t="n">
        <v>0</v>
      </c>
      <c r="G72" s="12" t="s">
        <v>64</v>
      </c>
      <c r="H72" s="11"/>
    </row>
    <row r="74" customFormat="false" ht="15" hidden="false" customHeight="true" outlineLevel="0" collapsed="false">
      <c r="A74" s="4" t="s">
        <v>1440</v>
      </c>
      <c r="B74" s="5" t="n">
        <f aca="false">COUNTA(A2:A72)</f>
        <v>71</v>
      </c>
    </row>
    <row r="75" customFormat="false" ht="15" hidden="false" customHeight="true" outlineLevel="0" collapsed="false">
      <c r="A75" s="4" t="s">
        <v>1441</v>
      </c>
      <c r="B75" s="5" t="n">
        <f aca="false">COUNTIF(G2:G72,"Seed (Zeres)")</f>
        <v>65</v>
      </c>
    </row>
    <row r="76" customFormat="false" ht="15" hidden="false" customHeight="true" outlineLevel="0" collapsed="false">
      <c r="A76" s="4" t="s">
        <v>1442</v>
      </c>
      <c r="B76" s="5" t="n">
        <f aca="false">COUNTIF(G2:G72,"Needs Research")</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0"/>
  </cols>
  <sheetData>
    <row r="1" customFormat="false" ht="19.5" hidden="false" customHeight="true" outlineLevel="0" collapsed="false">
      <c r="A1" s="2" t="s">
        <v>1443</v>
      </c>
    </row>
    <row r="3" customFormat="false" ht="15" hidden="false" customHeight="true" outlineLevel="0" collapsed="false">
      <c r="A3" s="14" t="s">
        <v>1444</v>
      </c>
    </row>
    <row r="4" customFormat="false" ht="15" hidden="false" customHeight="true" outlineLevel="0" collapsed="false">
      <c r="A4" s="14" t="s">
        <v>1445</v>
      </c>
    </row>
    <row r="5" customFormat="false" ht="15" hidden="false" customHeight="true" outlineLevel="0" collapsed="false">
      <c r="A5" s="14" t="s">
        <v>1446</v>
      </c>
    </row>
    <row r="6" customFormat="false" ht="15" hidden="false" customHeight="true" outlineLevel="0" collapsed="false">
      <c r="A6" s="14" t="s">
        <v>1447</v>
      </c>
    </row>
    <row r="7" customFormat="false" ht="15" hidden="false" customHeight="true" outlineLevel="0" collapsed="false">
      <c r="A7" s="14" t="s">
        <v>1448</v>
      </c>
    </row>
    <row r="8" customFormat="false" ht="15" hidden="false" customHeight="true" outlineLevel="0" collapsed="false">
      <c r="A8" s="14" t="s">
        <v>1449</v>
      </c>
    </row>
    <row r="9" customFormat="false" ht="15" hidden="false" customHeight="true" outlineLevel="0" collapsed="false">
      <c r="A9" s="14" t="s">
        <v>1450</v>
      </c>
    </row>
    <row r="10" customFormat="false" ht="15" hidden="false" customHeight="true" outlineLevel="0" collapsed="false">
      <c r="A10" s="14" t="s">
        <v>1451</v>
      </c>
    </row>
    <row r="11" customFormat="false" ht="15" hidden="false" customHeight="true" outlineLevel="0" collapsed="false">
      <c r="A11" s="14" t="s">
        <v>1448</v>
      </c>
    </row>
    <row r="12" customFormat="false" ht="15" hidden="false" customHeight="true" outlineLevel="0" collapsed="false">
      <c r="A12" s="14" t="s">
        <v>1449</v>
      </c>
    </row>
    <row r="13" customFormat="false" ht="15" hidden="false" customHeight="true" outlineLevel="0" collapsed="false">
      <c r="A13" s="14" t="s">
        <v>1452</v>
      </c>
    </row>
    <row r="14" customFormat="false" ht="15" hidden="false" customHeight="true" outlineLevel="0" collapsed="false">
      <c r="A14" s="14" t="s">
        <v>1453</v>
      </c>
    </row>
    <row r="15" customFormat="false" ht="15" hidden="false" customHeight="true" outlineLevel="0" collapsed="false">
      <c r="A15" s="14" t="s">
        <v>1454</v>
      </c>
    </row>
    <row r="16" customFormat="false" ht="15" hidden="false" customHeight="true" outlineLevel="0" collapsed="false">
      <c r="A16" s="14" t="s">
        <v>1455</v>
      </c>
    </row>
    <row r="18" customFormat="false" ht="15" hidden="false" customHeight="true" outlineLevel="0" collapsed="false">
      <c r="A18" s="5" t="s">
        <v>1456</v>
      </c>
    </row>
    <row r="19" customFormat="false" ht="15" hidden="false" customHeight="true" outlineLevel="0" collapsed="false">
      <c r="A19" s="5" t="s">
        <v>1457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2026-07-13T13:04:51Z</dcterms:created>
  <dc:creator>openpyxl</dc:creator>
  <dc:description/>
  <dc:language>en-US</dc:language>
  <cp:lastModifiedBy/>
  <dcterms:modified xsi:type="dcterms:W3CDTF">2026-08-11T12:42:06Z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